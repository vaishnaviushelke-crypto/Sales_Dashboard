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24226"/>
  <mc:AlternateContent xmlns:mc="http://schemas.openxmlformats.org/markup-compatibility/2006">
    <mc:Choice Requires="x15">
      <x15ac:absPath xmlns:x15ac="http://schemas.microsoft.com/office/spreadsheetml/2010/11/ac" url="D:\Kishor\ExcelR\Excel\"/>
    </mc:Choice>
  </mc:AlternateContent>
  <xr:revisionPtr revIDLastSave="0" documentId="8_{D0E11B8B-07AD-4072-A667-CB7EC50DE77B}" xr6:coauthVersionLast="47" xr6:coauthVersionMax="47" xr10:uidLastSave="{00000000-0000-0000-0000-000000000000}"/>
  <bookViews>
    <workbookView xWindow="-108" yWindow="-108" windowWidth="23256" windowHeight="12456" activeTab="4" xr2:uid="{00000000-000D-0000-FFFF-FFFF00000000}"/>
  </bookViews>
  <sheets>
    <sheet name="Data" sheetId="1" r:id="rId1"/>
    <sheet name="Analysis1" sheetId="10" r:id="rId2"/>
    <sheet name="Analysis2" sheetId="5" r:id="rId3"/>
    <sheet name="Analysis3" sheetId="6" r:id="rId4"/>
    <sheet name="Dashboard" sheetId="9" r:id="rId5"/>
  </sheets>
  <definedNames>
    <definedName name="_xlnm._FilterDatabase" localSheetId="0" hidden="1">Data!$A$1:$E$145</definedName>
    <definedName name="Slicer_Month">#N/A</definedName>
    <definedName name="Slicer_Product">#N/A</definedName>
    <definedName name="Slicer_Region">#N/A</definedName>
  </definedNames>
  <calcPr calcId="191029"/>
  <pivotCaches>
    <pivotCache cacheId="13"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5" l="1"/>
  <c r="B9" i="5"/>
  <c r="B10" i="10"/>
  <c r="B18" i="6"/>
  <c r="N8" i="9" l="1"/>
  <c r="J8" i="9"/>
</calcChain>
</file>

<file path=xl/sharedStrings.xml><?xml version="1.0" encoding="utf-8"?>
<sst xmlns="http://schemas.openxmlformats.org/spreadsheetml/2006/main" count="467" uniqueCount="32">
  <si>
    <t>Region</t>
  </si>
  <si>
    <t>Product</t>
  </si>
  <si>
    <t>Month</t>
  </si>
  <si>
    <t>Revenue</t>
  </si>
  <si>
    <t>Cost</t>
  </si>
  <si>
    <t>North</t>
  </si>
  <si>
    <t>South</t>
  </si>
  <si>
    <t>East</t>
  </si>
  <si>
    <t>West</t>
  </si>
  <si>
    <t>Product A</t>
  </si>
  <si>
    <t>Product B</t>
  </si>
  <si>
    <t>Product C</t>
  </si>
  <si>
    <t>Jan</t>
  </si>
  <si>
    <t>Feb</t>
  </si>
  <si>
    <t>Mar</t>
  </si>
  <si>
    <t>Apr</t>
  </si>
  <si>
    <t>May</t>
  </si>
  <si>
    <t>Jun</t>
  </si>
  <si>
    <t>Jul</t>
  </si>
  <si>
    <t>Aug</t>
  </si>
  <si>
    <t>Sep</t>
  </si>
  <si>
    <t>Oct</t>
  </si>
  <si>
    <t>Nov</t>
  </si>
  <si>
    <t>Dec</t>
  </si>
  <si>
    <t>Row Labels</t>
  </si>
  <si>
    <t>Grand Total</t>
  </si>
  <si>
    <t>Sum of Revenue</t>
  </si>
  <si>
    <t>Sum of Profit</t>
  </si>
  <si>
    <t>Total Profit</t>
  </si>
  <si>
    <t>Total Revenue</t>
  </si>
  <si>
    <t>Sum of Amount</t>
  </si>
  <si>
    <t>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</si>
</sst>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b/>
      <sz val="10"/>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right"/>
    </xf>
    <xf numFmtId="0" fontId="0" fillId="2" borderId="0" xfId="0" applyFill="1"/>
    <xf numFmtId="0" fontId="0" fillId="3" borderId="0" xfId="0" applyFill="1"/>
    <xf numFmtId="0" fontId="1" fillId="3" borderId="0" xfId="0" applyFont="1" applyFill="1"/>
    <xf numFmtId="0" fontId="0" fillId="3" borderId="0" xfId="0" applyFill="1" applyAlignment="1">
      <alignment horizontal="center" vertical="center"/>
    </xf>
    <xf numFmtId="0" fontId="1" fillId="3" borderId="0" xfId="0" applyFont="1" applyFill="1" applyAlignment="1">
      <alignment horizontal="center"/>
    </xf>
    <xf numFmtId="0" fontId="1" fillId="2" borderId="0" xfId="0" applyFont="1" applyFill="1" applyAlignment="1">
      <alignment horizontal="center" vertical="center"/>
    </xf>
    <xf numFmtId="0" fontId="0" fillId="2" borderId="0" xfId="0" applyFill="1" applyAlignment="1">
      <alignment horizontal="center" vertical="center"/>
    </xf>
    <xf numFmtId="14" fontId="0" fillId="0" borderId="0" xfId="0" applyNumberFormat="1" applyAlignment="1">
      <alignment horizontal="left"/>
    </xf>
    <xf numFmtId="0" fontId="2" fillId="2" borderId="0" xfId="0" applyFont="1" applyFill="1"/>
    <xf numFmtId="0" fontId="3" fillId="2" borderId="0" xfId="0" applyFont="1" applyFill="1"/>
    <xf numFmtId="0" fontId="4" fillId="3" borderId="0" xfId="0" applyFont="1" applyFill="1" applyAlignment="1">
      <alignment horizontal="center" vertical="center"/>
    </xf>
    <xf numFmtId="0" fontId="4" fillId="3" borderId="0" xfId="0" applyFont="1" applyFill="1" applyAlignment="1">
      <alignment horizontal="center"/>
    </xf>
  </cellXfs>
  <cellStyles count="1">
    <cellStyle name="Normal" xfId="0" builtinId="0"/>
  </cellStyles>
  <dxfs count="4">
    <dxf>
      <numFmt numFmtId="19" formatCode="dd/mm/yyyy"/>
    </dxf>
    <dxf>
      <numFmt numFmtId="1" formatCode="0"/>
    </dxf>
    <dxf>
      <numFmt numFmtId="1" formatCode="0"/>
    </dxf>
    <dxf>
      <numFmt numFmtId="19" formatCode="dd/mm/yyyy"/>
    </dxf>
  </dxfs>
  <tableStyles count="1" defaultTableStyle="TableStyleMedium2" defaultPivotStyle="PivotStyleLight16">
    <tableStyle name="Invisible" pivot="0" table="0" count="0" xr9:uid="{7EF06ABB-F5DA-412A-A451-9AD956F5EB0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customXml" Target="../customXml/item8.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10" Type="http://schemas.openxmlformats.org/officeDocument/2006/relationships/theme" Target="theme/theme1.xml"/><Relationship Id="rId19" Type="http://schemas.openxmlformats.org/officeDocument/2006/relationships/customXml" Target="../customXml/item6.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 Id="rId22"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[Presentation_Dashboard.xlsx]Analysis1!PivotTable1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Regionwise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Analysis1!$B$3</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Analysis1!$A$4:$A$8</c:f>
              <c:strCache>
                <c:ptCount val="4"/>
                <c:pt idx="0">
                  <c:v>East</c:v>
                </c:pt>
                <c:pt idx="1">
                  <c:v>North</c:v>
                </c:pt>
                <c:pt idx="2">
                  <c:v>South</c:v>
                </c:pt>
                <c:pt idx="3">
                  <c:v>West</c:v>
                </c:pt>
              </c:strCache>
            </c:strRef>
          </c:cat>
          <c:val>
            <c:numRef>
              <c:f>Analysis1!$B$4:$B$8</c:f>
              <c:numCache>
                <c:formatCode>General</c:formatCode>
                <c:ptCount val="4"/>
                <c:pt idx="0">
                  <c:v>4477554</c:v>
                </c:pt>
                <c:pt idx="1">
                  <c:v>4184904</c:v>
                </c:pt>
                <c:pt idx="2">
                  <c:v>4832084</c:v>
                </c:pt>
                <c:pt idx="3">
                  <c:v>4461600</c:v>
                </c:pt>
              </c:numCache>
            </c:numRef>
          </c:val>
          <c:extLst>
            <c:ext xmlns:c16="http://schemas.microsoft.com/office/drawing/2014/chart" uri="{C3380CC4-5D6E-409C-BE32-E72D297353CC}">
              <c16:uniqueId val="{00000000-8762-4F27-81E2-FB79A42B73C1}"/>
            </c:ext>
          </c:extLst>
        </c:ser>
        <c:dLbls>
          <c:dLblPos val="inEnd"/>
          <c:showLegendKey val="0"/>
          <c:showVal val="1"/>
          <c:showCatName val="0"/>
          <c:showSerName val="0"/>
          <c:showPercent val="0"/>
          <c:showBubbleSize val="0"/>
        </c:dLbls>
        <c:gapWidth val="65"/>
        <c:axId val="594059792"/>
        <c:axId val="594048752"/>
      </c:barChart>
      <c:catAx>
        <c:axId val="594059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4048752"/>
        <c:crosses val="autoZero"/>
        <c:auto val="1"/>
        <c:lblAlgn val="ctr"/>
        <c:lblOffset val="100"/>
        <c:noMultiLvlLbl val="0"/>
      </c:catAx>
      <c:valAx>
        <c:axId val="5940487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5940597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[Presentation_Dashboard.xlsx]Analysis2!PivotTable4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Analysis2!$B$3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11E-4A9D-9515-3642BCD1125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11E-4A9D-9515-3642BCD1125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11E-4A9D-9515-3642BCD1125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Analysis2!$A$4:$A$7</c:f>
              <c:strCache>
                <c:ptCount val="3"/>
                <c:pt idx="0">
                  <c:v>Product A</c:v>
                </c:pt>
                <c:pt idx="1">
                  <c:v>Product B</c:v>
                </c:pt>
                <c:pt idx="2">
                  <c:v>Product C</c:v>
                </c:pt>
              </c:strCache>
            </c:strRef>
          </c:cat>
          <c:val>
            <c:numRef>
              <c:f>Analysis2!$B$4:$B$7</c:f>
              <c:numCache>
                <c:formatCode>General</c:formatCode>
                <c:ptCount val="3"/>
                <c:pt idx="0">
                  <c:v>2101210</c:v>
                </c:pt>
                <c:pt idx="1">
                  <c:v>1733249</c:v>
                </c:pt>
                <c:pt idx="2">
                  <c:v>1120603</c:v>
                </c:pt>
              </c:numCache>
            </c:numRef>
          </c:val>
          <c:extLst>
            <c:ext xmlns:c16="http://schemas.microsoft.com/office/drawing/2014/chart" uri="{C3380CC4-5D6E-409C-BE32-E72D297353CC}">
              <c16:uniqueId val="{00000000-6445-42B3-B502-F25ADC61F3E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[Presentation_Dashboard.xlsx]Analysis3!PivotTable5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rgbClr val="FF0000"/>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Analysis3!$B$3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Analysis3!$B$4:$B$16</c:f>
              <c:numCache>
                <c:formatCode>0</c:formatCode>
                <c:ptCount val="12"/>
                <c:pt idx="0">
                  <c:v>704602</c:v>
                </c:pt>
                <c:pt idx="1">
                  <c:v>459013</c:v>
                </c:pt>
                <c:pt idx="2">
                  <c:v>477769</c:v>
                </c:pt>
                <c:pt idx="3">
                  <c:v>730547</c:v>
                </c:pt>
                <c:pt idx="4">
                  <c:v>70871</c:v>
                </c:pt>
                <c:pt idx="5">
                  <c:v>544024</c:v>
                </c:pt>
                <c:pt idx="6">
                  <c:v>247542</c:v>
                </c:pt>
                <c:pt idx="7">
                  <c:v>156667</c:v>
                </c:pt>
                <c:pt idx="8">
                  <c:v>110678</c:v>
                </c:pt>
                <c:pt idx="9">
                  <c:v>442431</c:v>
                </c:pt>
                <c:pt idx="10">
                  <c:v>430221</c:v>
                </c:pt>
                <c:pt idx="11">
                  <c:v>580697</c:v>
                </c:pt>
              </c:numCache>
            </c:numRef>
          </c:val>
          <c:smooth val="0"/>
          <c:extLst>
            <c:ext xmlns:c16="http://schemas.microsoft.com/office/drawing/2014/chart" uri="{C3380CC4-5D6E-409C-BE32-E72D297353CC}">
              <c16:uniqueId val="{00000000-BCBC-4B05-9CCB-0B32FF919897}"/>
            </c:ext>
          </c:extLst>
        </c:ser>
        <c:dLbls>
          <c:dLblPos val="t"/>
          <c:showLegendKey val="0"/>
          <c:showVal val="1"/>
          <c:showCatName val="0"/>
          <c:showSerName val="0"/>
          <c:showPercent val="0"/>
          <c:showBubbleSize val="0"/>
        </c:dLbls>
        <c:marker val="1"/>
        <c:smooth val="0"/>
        <c:axId val="696748399"/>
        <c:axId val="696749359"/>
      </c:lineChart>
      <c:catAx>
        <c:axId val="696748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49359"/>
        <c:crosses val="autoZero"/>
        <c:auto val="1"/>
        <c:lblAlgn val="ctr"/>
        <c:lblOffset val="100"/>
        <c:tickLblSkip val="1"/>
        <c:noMultiLvlLbl val="0"/>
      </c:catAx>
      <c:valAx>
        <c:axId val="696749359"/>
        <c:scaling>
          <c:orientation val="minMax"/>
          <c:min val="-8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48399"/>
        <c:crosses val="autoZero"/>
        <c:crossBetween val="midCat"/>
        <c:majorUnit val="8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2">
            <a:lumMod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[Presentation_Dashboard.xlsx]Analysis2!PivotTable4</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Profit Distribution</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Analysis2!$B$3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CB-477E-ABEB-C454103F87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CB-477E-ABEB-C454103F87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CB-477E-ABEB-C454103F87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Analysis2!$A$4:$A$7</c:f>
              <c:strCache>
                <c:ptCount val="3"/>
                <c:pt idx="0">
                  <c:v>Product A</c:v>
                </c:pt>
                <c:pt idx="1">
                  <c:v>Product B</c:v>
                </c:pt>
                <c:pt idx="2">
                  <c:v>Product C</c:v>
                </c:pt>
              </c:strCache>
            </c:strRef>
          </c:cat>
          <c:val>
            <c:numRef>
              <c:f>Analysis2!$B$4:$B$7</c:f>
              <c:numCache>
                <c:formatCode>General</c:formatCode>
                <c:ptCount val="3"/>
                <c:pt idx="0">
                  <c:v>2101210</c:v>
                </c:pt>
                <c:pt idx="1">
                  <c:v>1733249</c:v>
                </c:pt>
                <c:pt idx="2">
                  <c:v>1120603</c:v>
                </c:pt>
              </c:numCache>
            </c:numRef>
          </c:val>
          <c:extLst>
            <c:ext xmlns:c16="http://schemas.microsoft.com/office/drawing/2014/chart" uri="{C3380CC4-5D6E-409C-BE32-E72D297353CC}">
              <c16:uniqueId val="{00000006-4ECB-477E-ABEB-C454103F879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16200000"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[Presentation_Dashboard.xlsx]Analysis1!PivotTable1</c:name>
    <c:fmtId val="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Regionwise Revenue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Analysis1!$B$3</c:f>
              <c:strCache>
                <c:ptCount val="1"/>
                <c:pt idx="0">
                  <c:v>Total</c:v>
                </c:pt>
              </c:strCache>
            </c:strRef>
          </c:tx>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Analysis1!$A$4:$A$8</c:f>
              <c:strCache>
                <c:ptCount val="4"/>
                <c:pt idx="0">
                  <c:v>East</c:v>
                </c:pt>
                <c:pt idx="1">
                  <c:v>North</c:v>
                </c:pt>
                <c:pt idx="2">
                  <c:v>South</c:v>
                </c:pt>
                <c:pt idx="3">
                  <c:v>West</c:v>
                </c:pt>
              </c:strCache>
            </c:strRef>
          </c:cat>
          <c:val>
            <c:numRef>
              <c:f>Analysis1!$B$4:$B$8</c:f>
              <c:numCache>
                <c:formatCode>General</c:formatCode>
                <c:ptCount val="4"/>
                <c:pt idx="0">
                  <c:v>4477554</c:v>
                </c:pt>
                <c:pt idx="1">
                  <c:v>4184904</c:v>
                </c:pt>
                <c:pt idx="2">
                  <c:v>4832084</c:v>
                </c:pt>
                <c:pt idx="3">
                  <c:v>4461600</c:v>
                </c:pt>
              </c:numCache>
            </c:numRef>
          </c:val>
          <c:extLst>
            <c:ext xmlns:c16="http://schemas.microsoft.com/office/drawing/2014/chart" uri="{C3380CC4-5D6E-409C-BE32-E72D297353CC}">
              <c16:uniqueId val="{00000000-DC6F-48D6-B2D5-A7C77DDC8DC9}"/>
            </c:ext>
          </c:extLst>
        </c:ser>
        <c:dLbls>
          <c:dLblPos val="inEnd"/>
          <c:showLegendKey val="0"/>
          <c:showVal val="1"/>
          <c:showCatName val="0"/>
          <c:showSerName val="0"/>
          <c:showPercent val="0"/>
          <c:showBubbleSize val="0"/>
        </c:dLbls>
        <c:gapWidth val="355"/>
        <c:overlap val="-70"/>
        <c:axId val="594059792"/>
        <c:axId val="594048752"/>
      </c:barChart>
      <c:catAx>
        <c:axId val="59405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048752"/>
        <c:crosses val="autoZero"/>
        <c:auto val="1"/>
        <c:lblAlgn val="ctr"/>
        <c:lblOffset val="100"/>
        <c:noMultiLvlLbl val="0"/>
      </c:catAx>
      <c:valAx>
        <c:axId val="59404875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05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16200000"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[Presentation_Dashboard.xlsx]Analysis3!PivotTable5</c:name>
    <c:fmtId val="2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spc="0" baseline="0">
                <a:solidFill>
                  <a:sysClr val="windowText" lastClr="000000">
                    <a:lumMod val="65000"/>
                    <a:lumOff val="35000"/>
                  </a:sysClr>
                </a:solidFill>
                <a:latin typeface="+mn-lt"/>
                <a:ea typeface="+mn-ea"/>
                <a:cs typeface="+mn-cs"/>
              </a:defRPr>
            </a:pPr>
            <a:r>
              <a:rPr lang="en-US" sz="1800" b="1" i="0" u="none" strike="noStrike" kern="1200" spc="0" baseline="0">
                <a:solidFill>
                  <a:sysClr val="windowText" lastClr="000000">
                    <a:lumMod val="65000"/>
                    <a:lumOff val="35000"/>
                  </a:sysClr>
                </a:solidFill>
              </a:rPr>
              <a:t>Monthwise Profit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Analysis3!$B$3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Analysis3!$B$4:$B$16</c:f>
              <c:numCache>
                <c:formatCode>0</c:formatCode>
                <c:ptCount val="12"/>
                <c:pt idx="0">
                  <c:v>704602</c:v>
                </c:pt>
                <c:pt idx="1">
                  <c:v>459013</c:v>
                </c:pt>
                <c:pt idx="2">
                  <c:v>477769</c:v>
                </c:pt>
                <c:pt idx="3">
                  <c:v>730547</c:v>
                </c:pt>
                <c:pt idx="4">
                  <c:v>70871</c:v>
                </c:pt>
                <c:pt idx="5">
                  <c:v>544024</c:v>
                </c:pt>
                <c:pt idx="6">
                  <c:v>247542</c:v>
                </c:pt>
                <c:pt idx="7">
                  <c:v>156667</c:v>
                </c:pt>
                <c:pt idx="8">
                  <c:v>110678</c:v>
                </c:pt>
                <c:pt idx="9">
                  <c:v>442431</c:v>
                </c:pt>
                <c:pt idx="10">
                  <c:v>430221</c:v>
                </c:pt>
                <c:pt idx="11">
                  <c:v>580697</c:v>
                </c:pt>
              </c:numCache>
            </c:numRef>
          </c:val>
          <c:smooth val="0"/>
          <c:extLst>
            <c:ext xmlns:c16="http://schemas.microsoft.com/office/drawing/2014/chart" uri="{C3380CC4-5D6E-409C-BE32-E72D297353CC}">
              <c16:uniqueId val="{00000000-D387-4C04-A268-804F1FDEEC0A}"/>
            </c:ext>
          </c:extLst>
        </c:ser>
        <c:dLbls>
          <c:dLblPos val="ctr"/>
          <c:showLegendKey val="0"/>
          <c:showVal val="1"/>
          <c:showCatName val="0"/>
          <c:showSerName val="0"/>
          <c:showPercent val="0"/>
          <c:showBubbleSize val="0"/>
        </c:dLbls>
        <c:marker val="1"/>
        <c:smooth val="0"/>
        <c:axId val="696748399"/>
        <c:axId val="696749359"/>
      </c:lineChart>
      <c:catAx>
        <c:axId val="696748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49359"/>
        <c:crosses val="autoZero"/>
        <c:auto val="1"/>
        <c:lblAlgn val="ctr"/>
        <c:lblOffset val="100"/>
        <c:tickLblSkip val="1"/>
        <c:noMultiLvlLbl val="0"/>
      </c:catAx>
      <c:valAx>
        <c:axId val="6967493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48399"/>
        <c:crosses val="autoZero"/>
        <c:crossBetween val="midCat"/>
        <c:majorUnit val="8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95000"/>
        </a:schemeClr>
      </a:solidFill>
      <a:round/>
    </a:ln>
    <a:effectLst>
      <a:outerShdw blurRad="50800" dist="38100" dir="16200000"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8" Type="http://schemas.openxmlformats.org/officeDocument/2006/relationships/hyperlink" Target="#Analysis1!A1"/><Relationship Id="rId13" Type="http://schemas.openxmlformats.org/officeDocument/2006/relationships/image" Target="../media/image5.svg"/><Relationship Id="rId3" Type="http://schemas.openxmlformats.org/officeDocument/2006/relationships/chart" Target="../charts/chart4.xml"/><Relationship Id="rId7" Type="http://schemas.openxmlformats.org/officeDocument/2006/relationships/image" Target="../media/image3.svg"/><Relationship Id="rId12" Type="http://schemas.openxmlformats.org/officeDocument/2006/relationships/image" Target="../media/image4.png"/><Relationship Id="rId2" Type="http://schemas.openxmlformats.org/officeDocument/2006/relationships/image" Target="../media/image1.jpeg"/><Relationship Id="rId1" Type="http://schemas.openxmlformats.org/officeDocument/2006/relationships/hyperlink" Target="https://www.unilever.com/" TargetMode="External"/><Relationship Id="rId6" Type="http://schemas.openxmlformats.org/officeDocument/2006/relationships/image" Target="../media/image2.png"/><Relationship Id="rId11" Type="http://schemas.openxmlformats.org/officeDocument/2006/relationships/chart" Target="../charts/chart6.xml"/><Relationship Id="rId5" Type="http://schemas.openxmlformats.org/officeDocument/2006/relationships/hyperlink" Target="#Data!A1"/><Relationship Id="rId10" Type="http://schemas.openxmlformats.org/officeDocument/2006/relationships/hyperlink" Target="#Analysis3!A1"/><Relationship Id="rId4" Type="http://schemas.openxmlformats.org/officeDocument/2006/relationships/chart" Target="../charts/chart5.xml"/><Relationship Id="rId9" Type="http://schemas.openxmlformats.org/officeDocument/2006/relationships/hyperlink" Target="#Analysis2!A1"/><Relationship Id="rId1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5</xdr:col>
      <xdr:colOff>457200</xdr:colOff>
      <xdr:row>1</xdr:row>
      <xdr:rowOff>144780</xdr:rowOff>
    </xdr:from>
    <xdr:to>
      <xdr:col>7</xdr:col>
      <xdr:colOff>216408</xdr:colOff>
      <xdr:row>4</xdr:row>
      <xdr:rowOff>80772</xdr:rowOff>
    </xdr:to>
    <xdr:sp macro="" textlink="">
      <xdr:nvSpPr>
        <xdr:cNvPr id="2" name="Arrow: Right 1">
          <a:hlinkClick xmlns:r="http://schemas.openxmlformats.org/officeDocument/2006/relationships" r:id="rId1"/>
          <a:extLst>
            <a:ext uri="{FF2B5EF4-FFF2-40B4-BE49-F238E27FC236}">
              <a16:creationId xmlns:a16="http://schemas.microsoft.com/office/drawing/2014/main" id="{A889FF8F-E6F3-9DB9-44B2-7615AAEFBCC8}"/>
            </a:ext>
          </a:extLst>
        </xdr:cNvPr>
        <xdr:cNvSpPr/>
      </xdr:nvSpPr>
      <xdr:spPr>
        <a:xfrm>
          <a:off x="3657600" y="327660"/>
          <a:ext cx="978408" cy="48463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99060</xdr:colOff>
      <xdr:row>8</xdr:row>
      <xdr:rowOff>3810</xdr:rowOff>
    </xdr:from>
    <xdr:to>
      <xdr:col>9</xdr:col>
      <xdr:colOff>403860</xdr:colOff>
      <xdr:row>23</xdr:row>
      <xdr:rowOff>3810</xdr:rowOff>
    </xdr:to>
    <xdr:graphicFrame macro="">
      <xdr:nvGraphicFramePr>
        <xdr:cNvPr id="2" name="Chart 1">
          <a:extLst>
            <a:ext uri="{FF2B5EF4-FFF2-40B4-BE49-F238E27FC236}">
              <a16:creationId xmlns:a16="http://schemas.microsoft.com/office/drawing/2014/main" id="{570A35FC-BF1E-84F2-FA19-9558C2757A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3</xdr:row>
      <xdr:rowOff>0</xdr:rowOff>
    </xdr:from>
    <xdr:to>
      <xdr:col>5</xdr:col>
      <xdr:colOff>368808</xdr:colOff>
      <xdr:row>5</xdr:row>
      <xdr:rowOff>118872</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7C5BFB67-5A41-4E33-8B62-1B82DCA2684F}"/>
            </a:ext>
          </a:extLst>
        </xdr:cNvPr>
        <xdr:cNvSpPr/>
      </xdr:nvSpPr>
      <xdr:spPr>
        <a:xfrm>
          <a:off x="3101340" y="548640"/>
          <a:ext cx="978408" cy="48463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162771</xdr:colOff>
      <xdr:row>13</xdr:row>
      <xdr:rowOff>64346</xdr:rowOff>
    </xdr:from>
    <xdr:to>
      <xdr:col>12</xdr:col>
      <xdr:colOff>467571</xdr:colOff>
      <xdr:row>28</xdr:row>
      <xdr:rowOff>64346</xdr:rowOff>
    </xdr:to>
    <xdr:graphicFrame macro="">
      <xdr:nvGraphicFramePr>
        <xdr:cNvPr id="2" name="Chart 1">
          <a:extLst>
            <a:ext uri="{FF2B5EF4-FFF2-40B4-BE49-F238E27FC236}">
              <a16:creationId xmlns:a16="http://schemas.microsoft.com/office/drawing/2014/main" id="{677292BD-D54C-54AE-C78B-D7C21FDFCB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7620</xdr:colOff>
      <xdr:row>0</xdr:row>
      <xdr:rowOff>99060</xdr:rowOff>
    </xdr:from>
    <xdr:to>
      <xdr:col>13</xdr:col>
      <xdr:colOff>7620</xdr:colOff>
      <xdr:row>14</xdr:row>
      <xdr:rowOff>5715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FA4C9879-24D3-7EFF-17BD-648ABC80FE5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576060" y="99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5</xdr:row>
      <xdr:rowOff>0</xdr:rowOff>
    </xdr:from>
    <xdr:to>
      <xdr:col>15</xdr:col>
      <xdr:colOff>368808</xdr:colOff>
      <xdr:row>7</xdr:row>
      <xdr:rowOff>118872</xdr:rowOff>
    </xdr:to>
    <xdr:sp macro="" textlink="">
      <xdr:nvSpPr>
        <xdr:cNvPr id="4" name="Arrow: Right 3">
          <a:hlinkClick xmlns:r="http://schemas.openxmlformats.org/officeDocument/2006/relationships" r:id="rId2"/>
          <a:extLst>
            <a:ext uri="{FF2B5EF4-FFF2-40B4-BE49-F238E27FC236}">
              <a16:creationId xmlns:a16="http://schemas.microsoft.com/office/drawing/2014/main" id="{BC8392C2-1ACB-49BD-AB0B-06D801B330D2}"/>
            </a:ext>
          </a:extLst>
        </xdr:cNvPr>
        <xdr:cNvSpPr/>
      </xdr:nvSpPr>
      <xdr:spPr>
        <a:xfrm>
          <a:off x="9006840" y="914400"/>
          <a:ext cx="978408" cy="48463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175260</xdr:colOff>
      <xdr:row>0</xdr:row>
      <xdr:rowOff>144780</xdr:rowOff>
    </xdr:from>
    <xdr:to>
      <xdr:col>16</xdr:col>
      <xdr:colOff>175260</xdr:colOff>
      <xdr:row>14</xdr:row>
      <xdr:rowOff>51435</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1B75A43B-83A3-7CA4-F04E-1623AEEF002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572500" y="144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2</xdr:row>
      <xdr:rowOff>0</xdr:rowOff>
    </xdr:from>
    <xdr:to>
      <xdr:col>6</xdr:col>
      <xdr:colOff>368808</xdr:colOff>
      <xdr:row>4</xdr:row>
      <xdr:rowOff>118872</xdr:rowOff>
    </xdr:to>
    <xdr:sp macro="" textlink="">
      <xdr:nvSpPr>
        <xdr:cNvPr id="6" name="Arrow: Right 5">
          <a:hlinkClick xmlns:r="http://schemas.openxmlformats.org/officeDocument/2006/relationships" r:id="rId2"/>
          <a:extLst>
            <a:ext uri="{FF2B5EF4-FFF2-40B4-BE49-F238E27FC236}">
              <a16:creationId xmlns:a16="http://schemas.microsoft.com/office/drawing/2014/main" id="{DEE4B316-6036-4A3A-A46A-27059A226497}"/>
            </a:ext>
          </a:extLst>
        </xdr:cNvPr>
        <xdr:cNvSpPr/>
      </xdr:nvSpPr>
      <xdr:spPr>
        <a:xfrm>
          <a:off x="3520440" y="365760"/>
          <a:ext cx="978408" cy="48463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Dashboard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60960</xdr:colOff>
      <xdr:row>16</xdr:row>
      <xdr:rowOff>11430</xdr:rowOff>
    </xdr:from>
    <xdr:to>
      <xdr:col>8</xdr:col>
      <xdr:colOff>563880</xdr:colOff>
      <xdr:row>31</xdr:row>
      <xdr:rowOff>11430</xdr:rowOff>
    </xdr:to>
    <xdr:graphicFrame macro="">
      <xdr:nvGraphicFramePr>
        <xdr:cNvPr id="3" name="Chart 2">
          <a:extLst>
            <a:ext uri="{FF2B5EF4-FFF2-40B4-BE49-F238E27FC236}">
              <a16:creationId xmlns:a16="http://schemas.microsoft.com/office/drawing/2014/main" id="{EB822263-A684-A38A-010F-9EC74BAB7A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99060</xdr:colOff>
      <xdr:row>1</xdr:row>
      <xdr:rowOff>38100</xdr:rowOff>
    </xdr:from>
    <xdr:to>
      <xdr:col>12</xdr:col>
      <xdr:colOff>99061</xdr:colOff>
      <xdr:row>14</xdr:row>
      <xdr:rowOff>127635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277F6DED-CDB4-CA08-A128-580D899ED04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98920" y="220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701040</xdr:colOff>
      <xdr:row>5</xdr:row>
      <xdr:rowOff>7620</xdr:rowOff>
    </xdr:from>
    <xdr:to>
      <xdr:col>4</xdr:col>
      <xdr:colOff>79248</xdr:colOff>
      <xdr:row>7</xdr:row>
      <xdr:rowOff>126492</xdr:rowOff>
    </xdr:to>
    <xdr:sp macro="" textlink="">
      <xdr:nvSpPr>
        <xdr:cNvPr id="5" name="Arrow: Right 4">
          <a:hlinkClick xmlns:r="http://schemas.openxmlformats.org/officeDocument/2006/relationships" r:id="rId2"/>
          <a:extLst>
            <a:ext uri="{FF2B5EF4-FFF2-40B4-BE49-F238E27FC236}">
              <a16:creationId xmlns:a16="http://schemas.microsoft.com/office/drawing/2014/main" id="{92020CFD-C0BD-4751-BDBA-635235114685}"/>
            </a:ext>
          </a:extLst>
        </xdr:cNvPr>
        <xdr:cNvSpPr/>
      </xdr:nvSpPr>
      <xdr:spPr>
        <a:xfrm>
          <a:off x="2552700" y="922020"/>
          <a:ext cx="978408" cy="48463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Dashboard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261470</xdr:colOff>
      <xdr:row>0</xdr:row>
      <xdr:rowOff>112059</xdr:rowOff>
    </xdr:from>
    <xdr:to>
      <xdr:col>18</xdr:col>
      <xdr:colOff>205441</xdr:colOff>
      <xdr:row>40</xdr:row>
      <xdr:rowOff>168089</xdr:rowOff>
    </xdr:to>
    <xdr:sp macro="" textlink="">
      <xdr:nvSpPr>
        <xdr:cNvPr id="30" name="Rectangle 29" hidden="1">
          <a:extLst>
            <a:ext uri="{FF2B5EF4-FFF2-40B4-BE49-F238E27FC236}">
              <a16:creationId xmlns:a16="http://schemas.microsoft.com/office/drawing/2014/main" id="{A494AE2A-F763-2853-A134-49BCD88FF28A}"/>
            </a:ext>
          </a:extLst>
        </xdr:cNvPr>
        <xdr:cNvSpPr/>
      </xdr:nvSpPr>
      <xdr:spPr>
        <a:xfrm>
          <a:off x="3343088" y="112059"/>
          <a:ext cx="9525000" cy="7526618"/>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652319</xdr:colOff>
      <xdr:row>10</xdr:row>
      <xdr:rowOff>5771</xdr:rowOff>
    </xdr:from>
    <xdr:to>
      <xdr:col>6</xdr:col>
      <xdr:colOff>675409</xdr:colOff>
      <xdr:row>24</xdr:row>
      <xdr:rowOff>75045</xdr:rowOff>
    </xdr:to>
    <xdr:sp macro="" textlink="">
      <xdr:nvSpPr>
        <xdr:cNvPr id="35" name="Rectangle 34">
          <a:extLst>
            <a:ext uri="{FF2B5EF4-FFF2-40B4-BE49-F238E27FC236}">
              <a16:creationId xmlns:a16="http://schemas.microsoft.com/office/drawing/2014/main" id="{0F567DDA-D35E-C6EF-3689-FF746E212DB7}"/>
            </a:ext>
          </a:extLst>
        </xdr:cNvPr>
        <xdr:cNvSpPr/>
      </xdr:nvSpPr>
      <xdr:spPr>
        <a:xfrm>
          <a:off x="3711864" y="1853044"/>
          <a:ext cx="825500" cy="2655456"/>
        </a:xfrm>
        <a:prstGeom prst="rect">
          <a:avLst/>
        </a:prstGeom>
        <a:solidFill>
          <a:schemeClr val="bg1"/>
        </a:solidFill>
        <a:ln>
          <a:solidFill>
            <a:schemeClr val="bg1"/>
          </a:solid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645167</xdr:colOff>
      <xdr:row>5</xdr:row>
      <xdr:rowOff>53324</xdr:rowOff>
    </xdr:from>
    <xdr:to>
      <xdr:col>6</xdr:col>
      <xdr:colOff>615638</xdr:colOff>
      <xdr:row>8</xdr:row>
      <xdr:rowOff>166046</xdr:rowOff>
    </xdr:to>
    <xdr:pic>
      <xdr:nvPicPr>
        <xdr:cNvPr id="5" name="Picture 4">
          <a:hlinkClick xmlns:r="http://schemas.openxmlformats.org/officeDocument/2006/relationships" r:id="rId1"/>
          <a:extLst>
            <a:ext uri="{FF2B5EF4-FFF2-40B4-BE49-F238E27FC236}">
              <a16:creationId xmlns:a16="http://schemas.microsoft.com/office/drawing/2014/main" id="{5A2DF3F5-891A-7BE3-E174-F333343DCAA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93167" y="1005824"/>
          <a:ext cx="770571" cy="684222"/>
        </a:xfrm>
        <a:prstGeom prst="rect">
          <a:avLst/>
        </a:prstGeom>
      </xdr:spPr>
    </xdr:pic>
    <xdr:clientData/>
  </xdr:twoCellAnchor>
  <xdr:twoCellAnchor>
    <xdr:from>
      <xdr:col>5</xdr:col>
      <xdr:colOff>598662</xdr:colOff>
      <xdr:row>25</xdr:row>
      <xdr:rowOff>53822</xdr:rowOff>
    </xdr:from>
    <xdr:to>
      <xdr:col>10</xdr:col>
      <xdr:colOff>509662</xdr:colOff>
      <xdr:row>39</xdr:row>
      <xdr:rowOff>175116</xdr:rowOff>
    </xdr:to>
    <xdr:graphicFrame macro="">
      <xdr:nvGraphicFramePr>
        <xdr:cNvPr id="8" name="Chart 7">
          <a:extLst>
            <a:ext uri="{FF2B5EF4-FFF2-40B4-BE49-F238E27FC236}">
              <a16:creationId xmlns:a16="http://schemas.microsoft.com/office/drawing/2014/main" id="{FBAA226D-DB20-4BE5-984B-266611DE6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57990</xdr:colOff>
      <xdr:row>16</xdr:row>
      <xdr:rowOff>140547</xdr:rowOff>
    </xdr:from>
    <xdr:to>
      <xdr:col>8</xdr:col>
      <xdr:colOff>695823</xdr:colOff>
      <xdr:row>24</xdr:row>
      <xdr:rowOff>96289</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B176EA0D-3140-4C45-BE0B-0F112E25438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639951" y="3128782"/>
              <a:ext cx="1546754" cy="1449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35191</xdr:colOff>
      <xdr:row>9</xdr:row>
      <xdr:rowOff>174890</xdr:rowOff>
    </xdr:from>
    <xdr:to>
      <xdr:col>10</xdr:col>
      <xdr:colOff>486867</xdr:colOff>
      <xdr:row>24</xdr:row>
      <xdr:rowOff>95275</xdr:rowOff>
    </xdr:to>
    <mc:AlternateContent xmlns:mc="http://schemas.openxmlformats.org/markup-compatibility/2006" xmlns:a14="http://schemas.microsoft.com/office/drawing/2010/main">
      <mc:Choice Requires="a14">
        <xdr:graphicFrame macro="">
          <xdr:nvGraphicFramePr>
            <xdr:cNvPr id="22" name="Month 1">
              <a:extLst>
                <a:ext uri="{FF2B5EF4-FFF2-40B4-BE49-F238E27FC236}">
                  <a16:creationId xmlns:a16="http://schemas.microsoft.com/office/drawing/2014/main" id="{BB944DDD-9CCA-4ED1-B184-21070E5A436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281518" y="1807747"/>
              <a:ext cx="1695757" cy="2641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49994</xdr:colOff>
      <xdr:row>9</xdr:row>
      <xdr:rowOff>176882</xdr:rowOff>
    </xdr:from>
    <xdr:to>
      <xdr:col>8</xdr:col>
      <xdr:colOff>687827</xdr:colOff>
      <xdr:row>16</xdr:row>
      <xdr:rowOff>111294</xdr:rowOff>
    </xdr:to>
    <mc:AlternateContent xmlns:mc="http://schemas.openxmlformats.org/markup-compatibility/2006" xmlns:a14="http://schemas.microsoft.com/office/drawing/2010/main">
      <mc:Choice Requires="a14">
        <xdr:graphicFrame macro="">
          <xdr:nvGraphicFramePr>
            <xdr:cNvPr id="23" name="Product 1">
              <a:extLst>
                <a:ext uri="{FF2B5EF4-FFF2-40B4-BE49-F238E27FC236}">
                  <a16:creationId xmlns:a16="http://schemas.microsoft.com/office/drawing/2014/main" id="{A0BEB50D-6C69-43E5-A659-7572B3F905F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631955" y="1857764"/>
              <a:ext cx="1546754" cy="1241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40822</xdr:colOff>
      <xdr:row>25</xdr:row>
      <xdr:rowOff>48070</xdr:rowOff>
    </xdr:from>
    <xdr:to>
      <xdr:col>17</xdr:col>
      <xdr:colOff>493095</xdr:colOff>
      <xdr:row>39</xdr:row>
      <xdr:rowOff>157479</xdr:rowOff>
    </xdr:to>
    <xdr:graphicFrame macro="">
      <xdr:nvGraphicFramePr>
        <xdr:cNvPr id="2" name="Chart 1">
          <a:extLst>
            <a:ext uri="{FF2B5EF4-FFF2-40B4-BE49-F238E27FC236}">
              <a16:creationId xmlns:a16="http://schemas.microsoft.com/office/drawing/2014/main" id="{C7EF526E-AF1D-4E9D-8D18-73EFD8505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575827</xdr:colOff>
      <xdr:row>11</xdr:row>
      <xdr:rowOff>20066</xdr:rowOff>
    </xdr:from>
    <xdr:to>
      <xdr:col>7</xdr:col>
      <xdr:colOff>7676</xdr:colOff>
      <xdr:row>13</xdr:row>
      <xdr:rowOff>106620</xdr:rowOff>
    </xdr:to>
    <xdr:pic>
      <xdr:nvPicPr>
        <xdr:cNvPr id="7" name="Graphic 6" descr="Database with solid fill">
          <a:hlinkClick xmlns:r="http://schemas.openxmlformats.org/officeDocument/2006/relationships" r:id="rId5"/>
          <a:extLst>
            <a:ext uri="{FF2B5EF4-FFF2-40B4-BE49-F238E27FC236}">
              <a16:creationId xmlns:a16="http://schemas.microsoft.com/office/drawing/2014/main" id="{087D0BA0-52B8-47A4-AD3A-8F6E163349D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635372" y="2052066"/>
          <a:ext cx="973168" cy="456009"/>
        </a:xfrm>
        <a:prstGeom prst="rect">
          <a:avLst/>
        </a:prstGeom>
      </xdr:spPr>
    </xdr:pic>
    <xdr:clientData/>
  </xdr:twoCellAnchor>
  <xdr:twoCellAnchor>
    <xdr:from>
      <xdr:col>5</xdr:col>
      <xdr:colOff>764769</xdr:colOff>
      <xdr:row>14</xdr:row>
      <xdr:rowOff>68012</xdr:rowOff>
    </xdr:from>
    <xdr:to>
      <xdr:col>6</xdr:col>
      <xdr:colOff>545363</xdr:colOff>
      <xdr:row>16</xdr:row>
      <xdr:rowOff>117466</xdr:rowOff>
    </xdr:to>
    <xdr:sp macro="" textlink="">
      <xdr:nvSpPr>
        <xdr:cNvPr id="9" name="Frame 8">
          <a:hlinkClick xmlns:r="http://schemas.openxmlformats.org/officeDocument/2006/relationships" r:id="rId8"/>
          <a:extLst>
            <a:ext uri="{FF2B5EF4-FFF2-40B4-BE49-F238E27FC236}">
              <a16:creationId xmlns:a16="http://schemas.microsoft.com/office/drawing/2014/main" id="{F0D463C2-F668-4E25-AA97-A5CC5D6D95D8}"/>
            </a:ext>
          </a:extLst>
        </xdr:cNvPr>
        <xdr:cNvSpPr/>
      </xdr:nvSpPr>
      <xdr:spPr>
        <a:xfrm>
          <a:off x="3824314" y="2654194"/>
          <a:ext cx="583004" cy="418908"/>
        </a:xfrm>
        <a:prstGeom prst="fram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rPr>
            <a:t>KPI1</a:t>
          </a:r>
        </a:p>
      </xdr:txBody>
    </xdr:sp>
    <xdr:clientData/>
  </xdr:twoCellAnchor>
  <xdr:twoCellAnchor>
    <xdr:from>
      <xdr:col>5</xdr:col>
      <xdr:colOff>771410</xdr:colOff>
      <xdr:row>17</xdr:row>
      <xdr:rowOff>125525</xdr:rowOff>
    </xdr:from>
    <xdr:to>
      <xdr:col>6</xdr:col>
      <xdr:colOff>538741</xdr:colOff>
      <xdr:row>19</xdr:row>
      <xdr:rowOff>173140</xdr:rowOff>
    </xdr:to>
    <xdr:sp macro="" textlink="">
      <xdr:nvSpPr>
        <xdr:cNvPr id="11" name="Frame 10">
          <a:hlinkClick xmlns:r="http://schemas.openxmlformats.org/officeDocument/2006/relationships" r:id="rId9"/>
          <a:extLst>
            <a:ext uri="{FF2B5EF4-FFF2-40B4-BE49-F238E27FC236}">
              <a16:creationId xmlns:a16="http://schemas.microsoft.com/office/drawing/2014/main" id="{757F3710-3A31-4F7D-9C09-79635F79819C}"/>
            </a:ext>
          </a:extLst>
        </xdr:cNvPr>
        <xdr:cNvSpPr/>
      </xdr:nvSpPr>
      <xdr:spPr>
        <a:xfrm>
          <a:off x="3830955" y="3265889"/>
          <a:ext cx="569741" cy="417069"/>
        </a:xfrm>
        <a:prstGeom prst="fram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rPr>
            <a:t>KPI2</a:t>
          </a:r>
        </a:p>
      </xdr:txBody>
    </xdr:sp>
    <xdr:clientData/>
  </xdr:twoCellAnchor>
  <xdr:twoCellAnchor>
    <xdr:from>
      <xdr:col>5</xdr:col>
      <xdr:colOff>766622</xdr:colOff>
      <xdr:row>21</xdr:row>
      <xdr:rowOff>8351</xdr:rowOff>
    </xdr:from>
    <xdr:to>
      <xdr:col>6</xdr:col>
      <xdr:colOff>526218</xdr:colOff>
      <xdr:row>23</xdr:row>
      <xdr:rowOff>49183</xdr:rowOff>
    </xdr:to>
    <xdr:sp macro="" textlink="">
      <xdr:nvSpPr>
        <xdr:cNvPr id="13" name="Frame 12">
          <a:hlinkClick xmlns:r="http://schemas.openxmlformats.org/officeDocument/2006/relationships" r:id="rId10"/>
          <a:extLst>
            <a:ext uri="{FF2B5EF4-FFF2-40B4-BE49-F238E27FC236}">
              <a16:creationId xmlns:a16="http://schemas.microsoft.com/office/drawing/2014/main" id="{5A2FC230-A7CD-4788-B9DF-F88CA03A5262}"/>
            </a:ext>
          </a:extLst>
        </xdr:cNvPr>
        <xdr:cNvSpPr/>
      </xdr:nvSpPr>
      <xdr:spPr>
        <a:xfrm>
          <a:off x="3826167" y="3887624"/>
          <a:ext cx="562006" cy="410286"/>
        </a:xfrm>
        <a:prstGeom prst="fram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rPr>
            <a:t>KPI3</a:t>
          </a:r>
        </a:p>
      </xdr:txBody>
    </xdr:sp>
    <xdr:clientData/>
  </xdr:twoCellAnchor>
  <xdr:twoCellAnchor>
    <xdr:from>
      <xdr:col>11</xdr:col>
      <xdr:colOff>42724</xdr:colOff>
      <xdr:row>9</xdr:row>
      <xdr:rowOff>164895</xdr:rowOff>
    </xdr:from>
    <xdr:to>
      <xdr:col>17</xdr:col>
      <xdr:colOff>494997</xdr:colOff>
      <xdr:row>24</xdr:row>
      <xdr:rowOff>86691</xdr:rowOff>
    </xdr:to>
    <xdr:graphicFrame macro="">
      <xdr:nvGraphicFramePr>
        <xdr:cNvPr id="17" name="Chart 16">
          <a:extLst>
            <a:ext uri="{FF2B5EF4-FFF2-40B4-BE49-F238E27FC236}">
              <a16:creationId xmlns:a16="http://schemas.microsoft.com/office/drawing/2014/main" id="{37C78B12-F781-4A2F-B73F-D04D97EFD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123458</xdr:colOff>
      <xdr:row>5</xdr:row>
      <xdr:rowOff>179532</xdr:rowOff>
    </xdr:from>
    <xdr:to>
      <xdr:col>12</xdr:col>
      <xdr:colOff>526123</xdr:colOff>
      <xdr:row>8</xdr:row>
      <xdr:rowOff>3533</xdr:rowOff>
    </xdr:to>
    <xdr:grpSp>
      <xdr:nvGrpSpPr>
        <xdr:cNvPr id="28" name="Group 27">
          <a:extLst>
            <a:ext uri="{FF2B5EF4-FFF2-40B4-BE49-F238E27FC236}">
              <a16:creationId xmlns:a16="http://schemas.microsoft.com/office/drawing/2014/main" id="{85C5F159-C6A2-96D2-5871-69E5A12164CC}"/>
            </a:ext>
          </a:extLst>
        </xdr:cNvPr>
        <xdr:cNvGrpSpPr/>
      </xdr:nvGrpSpPr>
      <xdr:grpSpPr>
        <a:xfrm>
          <a:off x="8723172" y="1112593"/>
          <a:ext cx="402665" cy="383838"/>
          <a:chOff x="5796354" y="1083725"/>
          <a:chExt cx="401899" cy="401058"/>
        </a:xfrm>
      </xdr:grpSpPr>
      <xdr:sp macro="" textlink="">
        <xdr:nvSpPr>
          <xdr:cNvPr id="25" name="Rectangle 24">
            <a:extLst>
              <a:ext uri="{FF2B5EF4-FFF2-40B4-BE49-F238E27FC236}">
                <a16:creationId xmlns:a16="http://schemas.microsoft.com/office/drawing/2014/main" id="{9386A5C8-E224-6730-84D3-9C677A3EA702}"/>
              </a:ext>
            </a:extLst>
          </xdr:cNvPr>
          <xdr:cNvSpPr/>
        </xdr:nvSpPr>
        <xdr:spPr>
          <a:xfrm>
            <a:off x="5810414" y="1114746"/>
            <a:ext cx="361708" cy="357122"/>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8" name="Graphic 17" descr="Bank with solid fill">
            <a:extLst>
              <a:ext uri="{FF2B5EF4-FFF2-40B4-BE49-F238E27FC236}">
                <a16:creationId xmlns:a16="http://schemas.microsoft.com/office/drawing/2014/main" id="{5BF1F507-983C-09BC-F708-FF87209F112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796354" y="1083725"/>
            <a:ext cx="401899" cy="401058"/>
          </a:xfrm>
          <a:prstGeom prst="rect">
            <a:avLst/>
          </a:prstGeom>
        </xdr:spPr>
      </xdr:pic>
    </xdr:grpSp>
    <xdr:clientData/>
  </xdr:twoCellAnchor>
  <xdr:twoCellAnchor>
    <xdr:from>
      <xdr:col>9</xdr:col>
      <xdr:colOff>809564</xdr:colOff>
      <xdr:row>1</xdr:row>
      <xdr:rowOff>125256</xdr:rowOff>
    </xdr:from>
    <xdr:to>
      <xdr:col>12</xdr:col>
      <xdr:colOff>548093</xdr:colOff>
      <xdr:row>4</xdr:row>
      <xdr:rowOff>75453</xdr:rowOff>
    </xdr:to>
    <xdr:sp macro="" textlink="">
      <xdr:nvSpPr>
        <xdr:cNvPr id="29" name="Rectangle 28">
          <a:extLst>
            <a:ext uri="{FF2B5EF4-FFF2-40B4-BE49-F238E27FC236}">
              <a16:creationId xmlns:a16="http://schemas.microsoft.com/office/drawing/2014/main" id="{4E2FA682-3064-8319-6662-708D8344FA36}"/>
            </a:ext>
          </a:extLst>
        </xdr:cNvPr>
        <xdr:cNvSpPr/>
      </xdr:nvSpPr>
      <xdr:spPr>
        <a:xfrm>
          <a:off x="7057964" y="315756"/>
          <a:ext cx="2202329" cy="521697"/>
        </a:xfrm>
        <a:prstGeom prst="rect">
          <a:avLst/>
        </a:prstGeom>
        <a:solidFill>
          <a:schemeClr val="bg1">
            <a:lumMod val="85000"/>
          </a:schemeClr>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800" b="1" u="none">
              <a:solidFill>
                <a:schemeClr val="tx1"/>
              </a:solidFill>
            </a:rPr>
            <a:t>DASHBOARD</a:t>
          </a:r>
          <a:endParaRPr lang="en-IN" sz="1100" b="1" u="none">
            <a:solidFill>
              <a:schemeClr val="tx1"/>
            </a:solidFill>
          </a:endParaRPr>
        </a:p>
      </xdr:txBody>
    </xdr:sp>
    <xdr:clientData/>
  </xdr:twoCellAnchor>
  <xdr:twoCellAnchor editAs="oneCell">
    <xdr:from>
      <xdr:col>8</xdr:col>
      <xdr:colOff>530558</xdr:colOff>
      <xdr:row>6</xdr:row>
      <xdr:rowOff>33420</xdr:rowOff>
    </xdr:from>
    <xdr:to>
      <xdr:col>9</xdr:col>
      <xdr:colOff>154967</xdr:colOff>
      <xdr:row>7</xdr:row>
      <xdr:rowOff>180831</xdr:rowOff>
    </xdr:to>
    <xdr:pic>
      <xdr:nvPicPr>
        <xdr:cNvPr id="4" name="Picture 3">
          <a:extLst>
            <a:ext uri="{FF2B5EF4-FFF2-40B4-BE49-F238E27FC236}">
              <a16:creationId xmlns:a16="http://schemas.microsoft.com/office/drawing/2014/main" id="{D938EE7E-3198-9169-7B16-A01794574ACB}"/>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6032499" y="1136315"/>
          <a:ext cx="368027" cy="33122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Sameer\AppData\Local\Microsoft\Windows\INetCache\IE\P5PPB3ZR\Presentation_Dashboard%5b1%5d.xlsx%5d.xlsx%5d.xlsx%5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shor" refreshedDate="45948.311966203706" createdVersion="8" refreshedVersion="8" minRefreshableVersion="3" recordCount="144" xr:uid="{E7F4A5C6-7C7C-4554-8810-C1D0DCB0A022}">
  <cacheSource type="worksheet">
    <worksheetSource ref="A1:E145" sheet=".xlsx].xlsx].xlsx].xlsx]Data" r:id="rId2"/>
  </cacheSource>
  <cacheFields count="7">
    <cacheField name="Region" numFmtId="0">
      <sharedItems count="4">
        <s v="North"/>
        <s v="South"/>
        <s v="East"/>
        <s v="West"/>
      </sharedItems>
    </cacheField>
    <cacheField name="Product" numFmtId="0">
      <sharedItems count="3">
        <s v="Product A"/>
        <s v="Product B"/>
        <s v="Product C"/>
      </sharedItems>
    </cacheField>
    <cacheField name="Month" numFmtId="0">
      <sharedItems count="12">
        <s v="Jan"/>
        <s v="Feb"/>
        <s v="Mar"/>
        <s v="Apr"/>
        <s v="May"/>
        <s v="Jun"/>
        <s v="Jul"/>
        <s v="Aug"/>
        <s v="Sep"/>
        <s v="Oct"/>
        <s v="Nov"/>
        <s v="Dec"/>
      </sharedItems>
    </cacheField>
    <cacheField name="Revenue" numFmtId="0">
      <sharedItems containsSemiMixedTypes="0" containsString="0" containsNumber="1" containsInteger="1" minValue="50769" maxValue="199213"/>
    </cacheField>
    <cacheField name="Cost" numFmtId="0">
      <sharedItems containsSemiMixedTypes="0" containsString="0" containsNumber="1" containsInteger="1" minValue="31802" maxValue="149176"/>
    </cacheField>
    <cacheField name="Profit" numFmtId="0" formula="Revenue-Cost" databaseField="0"/>
    <cacheField name="Amount" numFmtId="0" formula="Revenue-Cost" databaseField="0"/>
  </cacheFields>
  <extLst>
    <ext xmlns:x14="http://schemas.microsoft.com/office/spreadsheetml/2009/9/main" uri="{725AE2AE-9491-48be-B2B4-4EB974FC3084}">
      <x14:pivotCacheDefinition pivotCacheId="1782374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x v="0"/>
    <x v="0"/>
    <x v="0"/>
    <n v="171958"/>
    <n v="45795"/>
  </r>
  <r>
    <x v="0"/>
    <x v="0"/>
    <x v="1"/>
    <n v="181932"/>
    <n v="133694"/>
  </r>
  <r>
    <x v="0"/>
    <x v="0"/>
    <x v="2"/>
    <n v="169879"/>
    <n v="140268"/>
  </r>
  <r>
    <x v="0"/>
    <x v="0"/>
    <x v="3"/>
    <n v="104886"/>
    <n v="36265"/>
  </r>
  <r>
    <x v="0"/>
    <x v="0"/>
    <x v="4"/>
    <n v="137498"/>
    <n v="142727"/>
  </r>
  <r>
    <x v="0"/>
    <x v="0"/>
    <x v="5"/>
    <n v="176324"/>
    <n v="74131"/>
  </r>
  <r>
    <x v="0"/>
    <x v="0"/>
    <x v="6"/>
    <n v="66023"/>
    <n v="71090"/>
  </r>
  <r>
    <x v="0"/>
    <x v="0"/>
    <x v="7"/>
    <n v="117221"/>
    <n v="94820"/>
  </r>
  <r>
    <x v="0"/>
    <x v="0"/>
    <x v="8"/>
    <n v="50769"/>
    <n v="89735"/>
  </r>
  <r>
    <x v="0"/>
    <x v="0"/>
    <x v="9"/>
    <n v="114925"/>
    <n v="97969"/>
  </r>
  <r>
    <x v="0"/>
    <x v="0"/>
    <x v="10"/>
    <n v="55311"/>
    <n v="133355"/>
  </r>
  <r>
    <x v="0"/>
    <x v="0"/>
    <x v="11"/>
    <n v="135305"/>
    <n v="58693"/>
  </r>
  <r>
    <x v="0"/>
    <x v="1"/>
    <x v="0"/>
    <n v="180608"/>
    <n v="136970"/>
  </r>
  <r>
    <x v="0"/>
    <x v="1"/>
    <x v="1"/>
    <n v="134478"/>
    <n v="48431"/>
  </r>
  <r>
    <x v="0"/>
    <x v="1"/>
    <x v="2"/>
    <n v="180523"/>
    <n v="32747"/>
  </r>
  <r>
    <x v="0"/>
    <x v="1"/>
    <x v="3"/>
    <n v="173855"/>
    <n v="89150"/>
  </r>
  <r>
    <x v="0"/>
    <x v="1"/>
    <x v="4"/>
    <n v="115725"/>
    <n v="114654"/>
  </r>
  <r>
    <x v="0"/>
    <x v="1"/>
    <x v="5"/>
    <n v="169346"/>
    <n v="97435"/>
  </r>
  <r>
    <x v="0"/>
    <x v="1"/>
    <x v="6"/>
    <n v="106886"/>
    <n v="96803"/>
  </r>
  <r>
    <x v="0"/>
    <x v="1"/>
    <x v="7"/>
    <n v="81551"/>
    <n v="146216"/>
  </r>
  <r>
    <x v="0"/>
    <x v="1"/>
    <x v="8"/>
    <n v="61394"/>
    <n v="99092"/>
  </r>
  <r>
    <x v="0"/>
    <x v="1"/>
    <x v="9"/>
    <n v="53890"/>
    <n v="71606"/>
  </r>
  <r>
    <x v="0"/>
    <x v="1"/>
    <x v="10"/>
    <n v="137313"/>
    <n v="40627"/>
  </r>
  <r>
    <x v="0"/>
    <x v="1"/>
    <x v="11"/>
    <n v="58792"/>
    <n v="138859"/>
  </r>
  <r>
    <x v="0"/>
    <x v="2"/>
    <x v="0"/>
    <n v="118148"/>
    <n v="53483"/>
  </r>
  <r>
    <x v="0"/>
    <x v="2"/>
    <x v="1"/>
    <n v="174358"/>
    <n v="78555"/>
  </r>
  <r>
    <x v="0"/>
    <x v="2"/>
    <x v="2"/>
    <n v="67159"/>
    <n v="140510"/>
  </r>
  <r>
    <x v="0"/>
    <x v="2"/>
    <x v="3"/>
    <n v="156530"/>
    <n v="110077"/>
  </r>
  <r>
    <x v="0"/>
    <x v="2"/>
    <x v="4"/>
    <n v="85920"/>
    <n v="122067"/>
  </r>
  <r>
    <x v="0"/>
    <x v="2"/>
    <x v="5"/>
    <n v="69457"/>
    <n v="96557"/>
  </r>
  <r>
    <x v="0"/>
    <x v="2"/>
    <x v="6"/>
    <n v="128953"/>
    <n v="82995"/>
  </r>
  <r>
    <x v="0"/>
    <x v="2"/>
    <x v="7"/>
    <n v="59692"/>
    <n v="75758"/>
  </r>
  <r>
    <x v="0"/>
    <x v="2"/>
    <x v="8"/>
    <n v="87065"/>
    <n v="122093"/>
  </r>
  <r>
    <x v="0"/>
    <x v="2"/>
    <x v="9"/>
    <n v="149299"/>
    <n v="62606"/>
  </r>
  <r>
    <x v="0"/>
    <x v="2"/>
    <x v="10"/>
    <n v="61534"/>
    <n v="124663"/>
  </r>
  <r>
    <x v="0"/>
    <x v="2"/>
    <x v="11"/>
    <n v="90397"/>
    <n v="121387"/>
  </r>
  <r>
    <x v="1"/>
    <x v="0"/>
    <x v="0"/>
    <n v="51016"/>
    <n v="119789"/>
  </r>
  <r>
    <x v="1"/>
    <x v="0"/>
    <x v="1"/>
    <n v="105591"/>
    <n v="119812"/>
  </r>
  <r>
    <x v="1"/>
    <x v="0"/>
    <x v="2"/>
    <n v="73247"/>
    <n v="54300"/>
  </r>
  <r>
    <x v="1"/>
    <x v="0"/>
    <x v="3"/>
    <n v="132798"/>
    <n v="39268"/>
  </r>
  <r>
    <x v="1"/>
    <x v="0"/>
    <x v="4"/>
    <n v="136807"/>
    <n v="42185"/>
  </r>
  <r>
    <x v="1"/>
    <x v="0"/>
    <x v="5"/>
    <n v="189643"/>
    <n v="135512"/>
  </r>
  <r>
    <x v="1"/>
    <x v="0"/>
    <x v="6"/>
    <n v="88044"/>
    <n v="81214"/>
  </r>
  <r>
    <x v="1"/>
    <x v="0"/>
    <x v="7"/>
    <n v="164752"/>
    <n v="78984"/>
  </r>
  <r>
    <x v="1"/>
    <x v="0"/>
    <x v="8"/>
    <n v="90774"/>
    <n v="32568"/>
  </r>
  <r>
    <x v="1"/>
    <x v="0"/>
    <x v="9"/>
    <n v="170151"/>
    <n v="92592"/>
  </r>
  <r>
    <x v="1"/>
    <x v="0"/>
    <x v="10"/>
    <n v="183767"/>
    <n v="78190"/>
  </r>
  <r>
    <x v="1"/>
    <x v="0"/>
    <x v="11"/>
    <n v="186330"/>
    <n v="117538"/>
  </r>
  <r>
    <x v="1"/>
    <x v="1"/>
    <x v="0"/>
    <n v="89504"/>
    <n v="63159"/>
  </r>
  <r>
    <x v="1"/>
    <x v="1"/>
    <x v="1"/>
    <n v="63986"/>
    <n v="91858"/>
  </r>
  <r>
    <x v="1"/>
    <x v="1"/>
    <x v="2"/>
    <n v="179312"/>
    <n v="42666"/>
  </r>
  <r>
    <x v="1"/>
    <x v="1"/>
    <x v="3"/>
    <n v="88660"/>
    <n v="33561"/>
  </r>
  <r>
    <x v="1"/>
    <x v="1"/>
    <x v="4"/>
    <n v="76854"/>
    <n v="94505"/>
  </r>
  <r>
    <x v="1"/>
    <x v="1"/>
    <x v="5"/>
    <n v="154488"/>
    <n v="82251"/>
  </r>
  <r>
    <x v="1"/>
    <x v="1"/>
    <x v="6"/>
    <n v="72662"/>
    <n v="38392"/>
  </r>
  <r>
    <x v="1"/>
    <x v="1"/>
    <x v="7"/>
    <n v="80535"/>
    <n v="108603"/>
  </r>
  <r>
    <x v="1"/>
    <x v="1"/>
    <x v="8"/>
    <n v="163569"/>
    <n v="82256"/>
  </r>
  <r>
    <x v="1"/>
    <x v="1"/>
    <x v="9"/>
    <n v="139135"/>
    <n v="65222"/>
  </r>
  <r>
    <x v="1"/>
    <x v="1"/>
    <x v="10"/>
    <n v="127373"/>
    <n v="109575"/>
  </r>
  <r>
    <x v="1"/>
    <x v="1"/>
    <x v="11"/>
    <n v="173684"/>
    <n v="126354"/>
  </r>
  <r>
    <x v="1"/>
    <x v="2"/>
    <x v="0"/>
    <n v="60965"/>
    <n v="54538"/>
  </r>
  <r>
    <x v="1"/>
    <x v="2"/>
    <x v="1"/>
    <n v="158066"/>
    <n v="100592"/>
  </r>
  <r>
    <x v="1"/>
    <x v="2"/>
    <x v="2"/>
    <n v="163252"/>
    <n v="38110"/>
  </r>
  <r>
    <x v="1"/>
    <x v="2"/>
    <x v="3"/>
    <n v="148806"/>
    <n v="36910"/>
  </r>
  <r>
    <x v="1"/>
    <x v="2"/>
    <x v="4"/>
    <n v="160989"/>
    <n v="120982"/>
  </r>
  <r>
    <x v="1"/>
    <x v="2"/>
    <x v="5"/>
    <n v="171626"/>
    <n v="149176"/>
  </r>
  <r>
    <x v="1"/>
    <x v="2"/>
    <x v="6"/>
    <n v="181278"/>
    <n v="117054"/>
  </r>
  <r>
    <x v="1"/>
    <x v="2"/>
    <x v="7"/>
    <n v="172409"/>
    <n v="53419"/>
  </r>
  <r>
    <x v="1"/>
    <x v="2"/>
    <x v="8"/>
    <n v="100015"/>
    <n v="147478"/>
  </r>
  <r>
    <x v="1"/>
    <x v="2"/>
    <x v="9"/>
    <n v="172096"/>
    <n v="137059"/>
  </r>
  <r>
    <x v="1"/>
    <x v="2"/>
    <x v="10"/>
    <n v="160687"/>
    <n v="117939"/>
  </r>
  <r>
    <x v="1"/>
    <x v="2"/>
    <x v="11"/>
    <n v="199213"/>
    <n v="110356"/>
  </r>
  <r>
    <x v="2"/>
    <x v="0"/>
    <x v="0"/>
    <n v="155878"/>
    <n v="101910"/>
  </r>
  <r>
    <x v="2"/>
    <x v="0"/>
    <x v="1"/>
    <n v="112623"/>
    <n v="111734"/>
  </r>
  <r>
    <x v="2"/>
    <x v="0"/>
    <x v="2"/>
    <n v="125450"/>
    <n v="123426"/>
  </r>
  <r>
    <x v="2"/>
    <x v="0"/>
    <x v="3"/>
    <n v="167845"/>
    <n v="52299"/>
  </r>
  <r>
    <x v="2"/>
    <x v="0"/>
    <x v="4"/>
    <n v="93585"/>
    <n v="139225"/>
  </r>
  <r>
    <x v="2"/>
    <x v="0"/>
    <x v="5"/>
    <n v="114044"/>
    <n v="72557"/>
  </r>
  <r>
    <x v="2"/>
    <x v="0"/>
    <x v="6"/>
    <n v="159556"/>
    <n v="32693"/>
  </r>
  <r>
    <x v="2"/>
    <x v="0"/>
    <x v="7"/>
    <n v="145259"/>
    <n v="142235"/>
  </r>
  <r>
    <x v="2"/>
    <x v="0"/>
    <x v="8"/>
    <n v="75939"/>
    <n v="78925"/>
  </r>
  <r>
    <x v="2"/>
    <x v="0"/>
    <x v="9"/>
    <n v="68047"/>
    <n v="56105"/>
  </r>
  <r>
    <x v="2"/>
    <x v="0"/>
    <x v="10"/>
    <n v="125766"/>
    <n v="45707"/>
  </r>
  <r>
    <x v="2"/>
    <x v="0"/>
    <x v="11"/>
    <n v="94262"/>
    <n v="53776"/>
  </r>
  <r>
    <x v="2"/>
    <x v="1"/>
    <x v="0"/>
    <n v="178376"/>
    <n v="96842"/>
  </r>
  <r>
    <x v="2"/>
    <x v="1"/>
    <x v="1"/>
    <n v="187848"/>
    <n v="122787"/>
  </r>
  <r>
    <x v="2"/>
    <x v="1"/>
    <x v="2"/>
    <n v="177948"/>
    <n v="85016"/>
  </r>
  <r>
    <x v="2"/>
    <x v="1"/>
    <x v="3"/>
    <n v="190546"/>
    <n v="135830"/>
  </r>
  <r>
    <x v="2"/>
    <x v="1"/>
    <x v="4"/>
    <n v="71959"/>
    <n v="35530"/>
  </r>
  <r>
    <x v="2"/>
    <x v="1"/>
    <x v="5"/>
    <n v="169101"/>
    <n v="33748"/>
  </r>
  <r>
    <x v="2"/>
    <x v="1"/>
    <x v="6"/>
    <n v="63545"/>
    <n v="96199"/>
  </r>
  <r>
    <x v="2"/>
    <x v="1"/>
    <x v="7"/>
    <n v="123530"/>
    <n v="123557"/>
  </r>
  <r>
    <x v="2"/>
    <x v="1"/>
    <x v="8"/>
    <n v="111087"/>
    <n v="125839"/>
  </r>
  <r>
    <x v="2"/>
    <x v="1"/>
    <x v="9"/>
    <n v="118840"/>
    <n v="148451"/>
  </r>
  <r>
    <x v="2"/>
    <x v="1"/>
    <x v="10"/>
    <n v="101005"/>
    <n v="76576"/>
  </r>
  <r>
    <x v="2"/>
    <x v="1"/>
    <x v="11"/>
    <n v="89353"/>
    <n v="92003"/>
  </r>
  <r>
    <x v="2"/>
    <x v="2"/>
    <x v="0"/>
    <n v="102733"/>
    <n v="95318"/>
  </r>
  <r>
    <x v="2"/>
    <x v="2"/>
    <x v="1"/>
    <n v="117172"/>
    <n v="115616"/>
  </r>
  <r>
    <x v="2"/>
    <x v="2"/>
    <x v="2"/>
    <n v="143264"/>
    <n v="145386"/>
  </r>
  <r>
    <x v="2"/>
    <x v="2"/>
    <x v="3"/>
    <n v="76736"/>
    <n v="124209"/>
  </r>
  <r>
    <x v="2"/>
    <x v="2"/>
    <x v="4"/>
    <n v="162859"/>
    <n v="142181"/>
  </r>
  <r>
    <x v="2"/>
    <x v="2"/>
    <x v="5"/>
    <n v="181926"/>
    <n v="120084"/>
  </r>
  <r>
    <x v="2"/>
    <x v="2"/>
    <x v="6"/>
    <n v="57392"/>
    <n v="85680"/>
  </r>
  <r>
    <x v="2"/>
    <x v="2"/>
    <x v="7"/>
    <n v="100859"/>
    <n v="134095"/>
  </r>
  <r>
    <x v="2"/>
    <x v="2"/>
    <x v="8"/>
    <n v="120467"/>
    <n v="82662"/>
  </r>
  <r>
    <x v="2"/>
    <x v="2"/>
    <x v="9"/>
    <n v="148506"/>
    <n v="139751"/>
  </r>
  <r>
    <x v="2"/>
    <x v="2"/>
    <x v="10"/>
    <n v="168906"/>
    <n v="42688"/>
  </r>
  <r>
    <x v="2"/>
    <x v="2"/>
    <x v="11"/>
    <n v="75342"/>
    <n v="67157"/>
  </r>
  <r>
    <x v="3"/>
    <x v="0"/>
    <x v="0"/>
    <n v="156308"/>
    <n v="82083"/>
  </r>
  <r>
    <x v="3"/>
    <x v="0"/>
    <x v="1"/>
    <n v="156081"/>
    <n v="95733"/>
  </r>
  <r>
    <x v="3"/>
    <x v="0"/>
    <x v="2"/>
    <n v="139045"/>
    <n v="64698"/>
  </r>
  <r>
    <x v="3"/>
    <x v="0"/>
    <x v="3"/>
    <n v="160078"/>
    <n v="110623"/>
  </r>
  <r>
    <x v="3"/>
    <x v="0"/>
    <x v="4"/>
    <n v="72671"/>
    <n v="55184"/>
  </r>
  <r>
    <x v="3"/>
    <x v="0"/>
    <x v="5"/>
    <n v="143384"/>
    <n v="72107"/>
  </r>
  <r>
    <x v="3"/>
    <x v="0"/>
    <x v="6"/>
    <n v="136202"/>
    <n v="139893"/>
  </r>
  <r>
    <x v="3"/>
    <x v="0"/>
    <x v="7"/>
    <n v="101663"/>
    <n v="45708"/>
  </r>
  <r>
    <x v="3"/>
    <x v="0"/>
    <x v="8"/>
    <n v="141906"/>
    <n v="79811"/>
  </r>
  <r>
    <x v="3"/>
    <x v="0"/>
    <x v="9"/>
    <n v="183883"/>
    <n v="86250"/>
  </r>
  <r>
    <x v="3"/>
    <x v="0"/>
    <x v="10"/>
    <n v="162547"/>
    <n v="102082"/>
  </r>
  <r>
    <x v="3"/>
    <x v="0"/>
    <x v="11"/>
    <n v="174249"/>
    <n v="64754"/>
  </r>
  <r>
    <x v="3"/>
    <x v="1"/>
    <x v="0"/>
    <n v="192483"/>
    <n v="32911"/>
  </r>
  <r>
    <x v="3"/>
    <x v="1"/>
    <x v="1"/>
    <n v="189752"/>
    <n v="114896"/>
  </r>
  <r>
    <x v="3"/>
    <x v="1"/>
    <x v="2"/>
    <n v="121295"/>
    <n v="118614"/>
  </r>
  <r>
    <x v="3"/>
    <x v="1"/>
    <x v="3"/>
    <n v="150689"/>
    <n v="41111"/>
  </r>
  <r>
    <x v="3"/>
    <x v="1"/>
    <x v="4"/>
    <n v="87504"/>
    <n v="31802"/>
  </r>
  <r>
    <x v="3"/>
    <x v="1"/>
    <x v="5"/>
    <n v="58155"/>
    <n v="103656"/>
  </r>
  <r>
    <x v="3"/>
    <x v="1"/>
    <x v="6"/>
    <n v="89384"/>
    <n v="142561"/>
  </r>
  <r>
    <x v="3"/>
    <x v="1"/>
    <x v="7"/>
    <n v="97254"/>
    <n v="51918"/>
  </r>
  <r>
    <x v="3"/>
    <x v="1"/>
    <x v="8"/>
    <n v="135981"/>
    <n v="90713"/>
  </r>
  <r>
    <x v="3"/>
    <x v="1"/>
    <x v="9"/>
    <n v="80306"/>
    <n v="46646"/>
  </r>
  <r>
    <x v="3"/>
    <x v="1"/>
    <x v="10"/>
    <n v="96843"/>
    <n v="126601"/>
  </r>
  <r>
    <x v="3"/>
    <x v="1"/>
    <x v="11"/>
    <n v="157512"/>
    <n v="46371"/>
  </r>
  <r>
    <x v="3"/>
    <x v="2"/>
    <x v="0"/>
    <n v="161472"/>
    <n v="32049"/>
  </r>
  <r>
    <x v="3"/>
    <x v="2"/>
    <x v="1"/>
    <n v="153727"/>
    <n v="142893"/>
  </r>
  <r>
    <x v="3"/>
    <x v="2"/>
    <x v="2"/>
    <n v="70932"/>
    <n v="147796"/>
  </r>
  <r>
    <x v="3"/>
    <x v="2"/>
    <x v="3"/>
    <n v="79855"/>
    <n v="91434"/>
  </r>
  <r>
    <x v="3"/>
    <x v="2"/>
    <x v="4"/>
    <n v="57400"/>
    <n v="147858"/>
  </r>
  <r>
    <x v="3"/>
    <x v="2"/>
    <x v="5"/>
    <n v="65151"/>
    <n v="81407"/>
  </r>
  <r>
    <x v="3"/>
    <x v="2"/>
    <x v="6"/>
    <n v="116690"/>
    <n v="34499"/>
  </r>
  <r>
    <x v="3"/>
    <x v="2"/>
    <x v="7"/>
    <n v="56295"/>
    <n v="89040"/>
  </r>
  <r>
    <x v="3"/>
    <x v="2"/>
    <x v="8"/>
    <n v="62183"/>
    <n v="59299"/>
  </r>
  <r>
    <x v="3"/>
    <x v="2"/>
    <x v="9"/>
    <n v="193946"/>
    <n v="146336"/>
  </r>
  <r>
    <x v="3"/>
    <x v="2"/>
    <x v="10"/>
    <n v="82711"/>
    <n v="35539"/>
  </r>
  <r>
    <x v="3"/>
    <x v="2"/>
    <x v="11"/>
    <n v="176063"/>
    <n v="325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F949E6-C61B-4732-9C37-8F06EAFF6D64}"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7">
    <pivotField axis="axisRow" showAll="0">
      <items count="5">
        <item x="2"/>
        <item x="0"/>
        <item x="1"/>
        <item x="3"/>
        <item t="default"/>
      </items>
    </pivotField>
    <pivotField showAll="0">
      <items count="4">
        <item x="0"/>
        <item x="1"/>
        <item x="2"/>
        <item t="default"/>
      </items>
    </pivotField>
    <pivotField showAll="0">
      <items count="13">
        <item x="0"/>
        <item x="1"/>
        <item x="2"/>
        <item x="3"/>
        <item x="4"/>
        <item x="5"/>
        <item x="6"/>
        <item x="7"/>
        <item x="8"/>
        <item x="9"/>
        <item x="10"/>
        <item x="11"/>
        <item t="default"/>
      </items>
    </pivotField>
    <pivotField dataField="1" showAll="0"/>
    <pivotField showAll="0"/>
    <pivotField dragToRow="0" dragToCol="0" dragToPage="0" showAll="0" defaultSubtotal="0"/>
    <pivotField dragToRow="0" dragToCol="0" dragToPage="0" showAll="0" defaultSubtotal="0"/>
  </pivotFields>
  <rowFields count="1">
    <field x="0"/>
  </rowFields>
  <rowItems count="5">
    <i>
      <x/>
    </i>
    <i>
      <x v="1"/>
    </i>
    <i>
      <x v="2"/>
    </i>
    <i>
      <x v="3"/>
    </i>
    <i t="grand">
      <x/>
    </i>
  </rowItems>
  <colItems count="1">
    <i/>
  </colItems>
  <dataFields count="1">
    <dataField name="Sum of Revenue" fld="3" baseField="0" baseItem="0"/>
  </dataFields>
  <formats count="1">
    <format dxfId="3">
      <pivotArea dataOnly="0" labelOnly="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F6FCD3-70F9-4288-B983-777FD22B4AC5}"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s">
  <location ref="A3:B7" firstHeaderRow="1" firstDataRow="1" firstDataCol="1"/>
  <pivotFields count="7">
    <pivotField showAll="0">
      <items count="5">
        <item x="2"/>
        <item x="0"/>
        <item x="1"/>
        <item x="3"/>
        <item t="default"/>
      </items>
    </pivotField>
    <pivotField axis="axisRow" showAll="0">
      <items count="4">
        <item x="0"/>
        <item x="1"/>
        <item x="2"/>
        <item t="default"/>
      </items>
    </pivotField>
    <pivotField showAll="0">
      <items count="13">
        <item x="0"/>
        <item x="1"/>
        <item x="2"/>
        <item x="3"/>
        <item x="4"/>
        <item x="5"/>
        <item x="6"/>
        <item x="7"/>
        <item x="8"/>
        <item x="9"/>
        <item x="10"/>
        <item x="11"/>
        <item t="default"/>
      </items>
    </pivotField>
    <pivotField showAll="0"/>
    <pivotField showAll="0"/>
    <pivotField dataField="1" dragToRow="0" dragToCol="0" dragToPage="0" showAll="0" defaultSubtotal="0"/>
    <pivotField dragToRow="0" dragToCol="0" dragToPage="0" showAll="0" defaultSubtotal="0"/>
  </pivotFields>
  <rowFields count="1">
    <field x="1"/>
  </rowFields>
  <rowItems count="4">
    <i>
      <x/>
    </i>
    <i>
      <x v="1"/>
    </i>
    <i>
      <x v="2"/>
    </i>
    <i t="grand">
      <x/>
    </i>
  </rowItems>
  <colItems count="1">
    <i/>
  </colItems>
  <dataFields count="1">
    <dataField name="Sum of Profit" fld="5"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FC2CD2-C1CC-4CBB-A9CB-6772FA68DC71}"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16" firstHeaderRow="1" firstDataRow="1" firstDataCol="1"/>
  <pivotFields count="7">
    <pivotField showAll="0">
      <items count="5">
        <item x="2"/>
        <item x="0"/>
        <item x="1"/>
        <item x="3"/>
        <item t="default"/>
      </items>
    </pivotField>
    <pivotField showAll="0">
      <items count="4">
        <item x="0"/>
        <item x="1"/>
        <item x="2"/>
        <item t="default"/>
      </items>
    </pivotField>
    <pivotField axis="axisRow" showAll="0">
      <items count="13">
        <item x="0"/>
        <item x="1"/>
        <item x="2"/>
        <item x="3"/>
        <item x="4"/>
        <item x="5"/>
        <item x="6"/>
        <item x="7"/>
        <item x="8"/>
        <item x="9"/>
        <item x="10"/>
        <item x="11"/>
        <item t="default"/>
      </items>
    </pivotField>
    <pivotField showAll="0"/>
    <pivotField showAll="0"/>
    <pivotField dragToRow="0" dragToCol="0" dragToPage="0" showAll="0" defaultSubtotal="0"/>
    <pivotField dataField="1" dragToRow="0" dragToCol="0" dragToPage="0" showAll="0" defaultSubtotal="0"/>
  </pivotFields>
  <rowFields count="1">
    <field x="2"/>
  </rowFields>
  <rowItems count="13">
    <i>
      <x/>
    </i>
    <i>
      <x v="1"/>
    </i>
    <i>
      <x v="2"/>
    </i>
    <i>
      <x v="3"/>
    </i>
    <i>
      <x v="4"/>
    </i>
    <i>
      <x v="5"/>
    </i>
    <i>
      <x v="6"/>
    </i>
    <i>
      <x v="7"/>
    </i>
    <i>
      <x v="8"/>
    </i>
    <i>
      <x v="9"/>
    </i>
    <i>
      <x v="10"/>
    </i>
    <i>
      <x v="11"/>
    </i>
    <i t="grand">
      <x/>
    </i>
  </rowItems>
  <colItems count="1">
    <i/>
  </colItems>
  <dataFields count="1">
    <dataField name="Sum of Amount" fld="6" baseField="0" baseItem="0"/>
  </dataFields>
  <formats count="3">
    <format dxfId="2">
      <pivotArea collapsedLevelsAreSubtotals="1" fieldPosition="0">
        <references count="1">
          <reference field="2" count="0"/>
        </references>
      </pivotArea>
    </format>
    <format dxfId="1">
      <pivotArea grandRow="1" outline="0" collapsedLevelsAreSubtotals="1" fieldPosition="0"/>
    </format>
    <format dxfId="0">
      <pivotArea dataOnly="0" labelOnly="1" fieldPosition="0">
        <references count="1">
          <reference field="2" count="0"/>
        </references>
      </pivotArea>
    </format>
  </formats>
  <chartFormats count="4">
    <chartFormat chart="12"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319BDD7-5E04-4CDD-AD15-F6F229FCED1B}" sourceName="Region">
  <pivotTables>
    <pivotTable tabId="6" name="PivotTable5"/>
    <pivotTable tabId="5" name="PivotTable4"/>
    <pivotTable tabId="10" name="PivotTable1"/>
  </pivotTables>
  <data>
    <tabular pivotCacheId="1782374220">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82032C3-1251-4261-818A-F654CFCCD880}" sourceName="Month">
  <pivotTables>
    <pivotTable tabId="5" name="PivotTable4"/>
    <pivotTable tabId="6" name="PivotTable5"/>
    <pivotTable tabId="10" name="PivotTable1"/>
  </pivotTables>
  <data>
    <tabular pivotCacheId="1782374220">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AC4FB2C-94D3-414A-863F-BCCC1F85C390}" sourceName="Product">
  <pivotTables>
    <pivotTable tabId="5" name="PivotTable4"/>
    <pivotTable tabId="6" name="PivotTable5"/>
    <pivotTable tabId="10" name="PivotTable1"/>
  </pivotTables>
  <data>
    <tabular pivotCacheId="178237422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3BF9D30-4150-4293-98B5-541F6402378F}" cache="Slicer_Month" caption="Month" rowHeight="234950"/>
  <slicer name="Product" xr10:uid="{A5CC0E7F-E578-4E58-82C6-644A058F4B0F}"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3AF207E-2267-4E98-AC6D-47E022879DBA}"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E5E884F-BA9B-41D0-ADEA-4E8770FCE612}" cache="Slicer_Region" caption="Region" style="SlicerStyleDark1" rowHeight="234950"/>
  <slicer name="Month 1" xr10:uid="{8679F1ED-E48E-4485-AB89-629F85A0CC90}" cache="Slicer_Month" caption="Month" style="SlicerStyleDark1" rowHeight="234950"/>
  <slicer name="Product 1" xr10:uid="{AB22BE17-F536-4681-8A3F-2DD48256C29E}" cache="Slicer_Product" caption="Product" style="SlicerStyleDark1"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5"/>
  <sheetViews>
    <sheetView workbookViewId="0"/>
  </sheetViews>
  <sheetFormatPr defaultRowHeight="14.4" x14ac:dyDescent="0.3"/>
  <cols>
    <col min="1" max="1" width="6.77734375" bestFit="1" customWidth="1"/>
    <col min="3" max="3" width="6.77734375" bestFit="1" customWidth="1"/>
    <col min="4" max="4" width="8.33203125" bestFit="1" customWidth="1"/>
    <col min="5" max="5" width="7" bestFit="1" customWidth="1"/>
    <col min="9" max="9" width="17.77734375" bestFit="1" customWidth="1"/>
  </cols>
  <sheetData>
    <row r="1" spans="1:5" x14ac:dyDescent="0.3">
      <c r="A1" s="1" t="s">
        <v>0</v>
      </c>
      <c r="B1" s="1" t="s">
        <v>1</v>
      </c>
      <c r="C1" s="1" t="s">
        <v>2</v>
      </c>
      <c r="D1" s="1" t="s">
        <v>3</v>
      </c>
      <c r="E1" s="1" t="s">
        <v>4</v>
      </c>
    </row>
    <row r="2" spans="1:5" x14ac:dyDescent="0.3">
      <c r="A2" t="s">
        <v>5</v>
      </c>
      <c r="B2" t="s">
        <v>9</v>
      </c>
      <c r="C2" t="s">
        <v>12</v>
      </c>
      <c r="D2">
        <v>171958</v>
      </c>
      <c r="E2">
        <v>45795</v>
      </c>
    </row>
    <row r="3" spans="1:5" x14ac:dyDescent="0.3">
      <c r="A3" t="s">
        <v>5</v>
      </c>
      <c r="B3" t="s">
        <v>9</v>
      </c>
      <c r="C3" t="s">
        <v>13</v>
      </c>
      <c r="D3">
        <v>181932</v>
      </c>
      <c r="E3">
        <v>133694</v>
      </c>
    </row>
    <row r="4" spans="1:5" x14ac:dyDescent="0.3">
      <c r="A4" t="s">
        <v>5</v>
      </c>
      <c r="B4" t="s">
        <v>9</v>
      </c>
      <c r="C4" t="s">
        <v>14</v>
      </c>
      <c r="D4">
        <v>169879</v>
      </c>
      <c r="E4">
        <v>140268</v>
      </c>
    </row>
    <row r="5" spans="1:5" x14ac:dyDescent="0.3">
      <c r="A5" t="s">
        <v>5</v>
      </c>
      <c r="B5" t="s">
        <v>9</v>
      </c>
      <c r="C5" t="s">
        <v>15</v>
      </c>
      <c r="D5">
        <v>104886</v>
      </c>
      <c r="E5">
        <v>36265</v>
      </c>
    </row>
    <row r="6" spans="1:5" x14ac:dyDescent="0.3">
      <c r="A6" t="s">
        <v>5</v>
      </c>
      <c r="B6" t="s">
        <v>9</v>
      </c>
      <c r="C6" t="s">
        <v>16</v>
      </c>
      <c r="D6">
        <v>137498</v>
      </c>
      <c r="E6">
        <v>142727</v>
      </c>
    </row>
    <row r="7" spans="1:5" x14ac:dyDescent="0.3">
      <c r="A7" t="s">
        <v>5</v>
      </c>
      <c r="B7" t="s">
        <v>9</v>
      </c>
      <c r="C7" t="s">
        <v>17</v>
      </c>
      <c r="D7">
        <v>176324</v>
      </c>
      <c r="E7">
        <v>74131</v>
      </c>
    </row>
    <row r="8" spans="1:5" x14ac:dyDescent="0.3">
      <c r="A8" t="s">
        <v>5</v>
      </c>
      <c r="B8" t="s">
        <v>9</v>
      </c>
      <c r="C8" t="s">
        <v>18</v>
      </c>
      <c r="D8">
        <v>66023</v>
      </c>
      <c r="E8">
        <v>71090</v>
      </c>
    </row>
    <row r="9" spans="1:5" x14ac:dyDescent="0.3">
      <c r="A9" t="s">
        <v>5</v>
      </c>
      <c r="B9" t="s">
        <v>9</v>
      </c>
      <c r="C9" t="s">
        <v>19</v>
      </c>
      <c r="D9">
        <v>117221</v>
      </c>
      <c r="E9">
        <v>94820</v>
      </c>
    </row>
    <row r="10" spans="1:5" x14ac:dyDescent="0.3">
      <c r="A10" t="s">
        <v>5</v>
      </c>
      <c r="B10" t="s">
        <v>9</v>
      </c>
      <c r="C10" t="s">
        <v>20</v>
      </c>
      <c r="D10">
        <v>50769</v>
      </c>
      <c r="E10">
        <v>89735</v>
      </c>
    </row>
    <row r="11" spans="1:5" x14ac:dyDescent="0.3">
      <c r="A11" t="s">
        <v>5</v>
      </c>
      <c r="B11" t="s">
        <v>9</v>
      </c>
      <c r="C11" t="s">
        <v>21</v>
      </c>
      <c r="D11">
        <v>114925</v>
      </c>
      <c r="E11">
        <v>97969</v>
      </c>
    </row>
    <row r="12" spans="1:5" x14ac:dyDescent="0.3">
      <c r="A12" t="s">
        <v>5</v>
      </c>
      <c r="B12" t="s">
        <v>9</v>
      </c>
      <c r="C12" t="s">
        <v>22</v>
      </c>
      <c r="D12">
        <v>55311</v>
      </c>
      <c r="E12">
        <v>133355</v>
      </c>
    </row>
    <row r="13" spans="1:5" x14ac:dyDescent="0.3">
      <c r="A13" t="s">
        <v>5</v>
      </c>
      <c r="B13" t="s">
        <v>9</v>
      </c>
      <c r="C13" t="s">
        <v>23</v>
      </c>
      <c r="D13">
        <v>135305</v>
      </c>
      <c r="E13">
        <v>58693</v>
      </c>
    </row>
    <row r="14" spans="1:5" x14ac:dyDescent="0.3">
      <c r="A14" t="s">
        <v>5</v>
      </c>
      <c r="B14" t="s">
        <v>10</v>
      </c>
      <c r="C14" t="s">
        <v>12</v>
      </c>
      <c r="D14">
        <v>180608</v>
      </c>
      <c r="E14">
        <v>136970</v>
      </c>
    </row>
    <row r="15" spans="1:5" x14ac:dyDescent="0.3">
      <c r="A15" t="s">
        <v>5</v>
      </c>
      <c r="B15" t="s">
        <v>10</v>
      </c>
      <c r="C15" t="s">
        <v>13</v>
      </c>
      <c r="D15">
        <v>134478</v>
      </c>
      <c r="E15">
        <v>48431</v>
      </c>
    </row>
    <row r="16" spans="1:5" x14ac:dyDescent="0.3">
      <c r="A16" t="s">
        <v>5</v>
      </c>
      <c r="B16" t="s">
        <v>10</v>
      </c>
      <c r="C16" t="s">
        <v>14</v>
      </c>
      <c r="D16">
        <v>180523</v>
      </c>
      <c r="E16">
        <v>32747</v>
      </c>
    </row>
    <row r="17" spans="1:5" x14ac:dyDescent="0.3">
      <c r="A17" t="s">
        <v>5</v>
      </c>
      <c r="B17" t="s">
        <v>10</v>
      </c>
      <c r="C17" t="s">
        <v>15</v>
      </c>
      <c r="D17">
        <v>173855</v>
      </c>
      <c r="E17">
        <v>89150</v>
      </c>
    </row>
    <row r="18" spans="1:5" x14ac:dyDescent="0.3">
      <c r="A18" t="s">
        <v>5</v>
      </c>
      <c r="B18" t="s">
        <v>10</v>
      </c>
      <c r="C18" t="s">
        <v>16</v>
      </c>
      <c r="D18">
        <v>115725</v>
      </c>
      <c r="E18">
        <v>114654</v>
      </c>
    </row>
    <row r="19" spans="1:5" x14ac:dyDescent="0.3">
      <c r="A19" t="s">
        <v>5</v>
      </c>
      <c r="B19" t="s">
        <v>10</v>
      </c>
      <c r="C19" t="s">
        <v>17</v>
      </c>
      <c r="D19">
        <v>169346</v>
      </c>
      <c r="E19">
        <v>97435</v>
      </c>
    </row>
    <row r="20" spans="1:5" x14ac:dyDescent="0.3">
      <c r="A20" t="s">
        <v>5</v>
      </c>
      <c r="B20" t="s">
        <v>10</v>
      </c>
      <c r="C20" t="s">
        <v>18</v>
      </c>
      <c r="D20">
        <v>106886</v>
      </c>
      <c r="E20">
        <v>96803</v>
      </c>
    </row>
    <row r="21" spans="1:5" x14ac:dyDescent="0.3">
      <c r="A21" t="s">
        <v>5</v>
      </c>
      <c r="B21" t="s">
        <v>10</v>
      </c>
      <c r="C21" t="s">
        <v>19</v>
      </c>
      <c r="D21">
        <v>81551</v>
      </c>
      <c r="E21">
        <v>146216</v>
      </c>
    </row>
    <row r="22" spans="1:5" x14ac:dyDescent="0.3">
      <c r="A22" t="s">
        <v>5</v>
      </c>
      <c r="B22" t="s">
        <v>10</v>
      </c>
      <c r="C22" t="s">
        <v>20</v>
      </c>
      <c r="D22">
        <v>61394</v>
      </c>
      <c r="E22">
        <v>99092</v>
      </c>
    </row>
    <row r="23" spans="1:5" x14ac:dyDescent="0.3">
      <c r="A23" t="s">
        <v>5</v>
      </c>
      <c r="B23" t="s">
        <v>10</v>
      </c>
      <c r="C23" t="s">
        <v>21</v>
      </c>
      <c r="D23">
        <v>53890</v>
      </c>
      <c r="E23">
        <v>71606</v>
      </c>
    </row>
    <row r="24" spans="1:5" x14ac:dyDescent="0.3">
      <c r="A24" t="s">
        <v>5</v>
      </c>
      <c r="B24" t="s">
        <v>10</v>
      </c>
      <c r="C24" t="s">
        <v>22</v>
      </c>
      <c r="D24">
        <v>137313</v>
      </c>
      <c r="E24">
        <v>40627</v>
      </c>
    </row>
    <row r="25" spans="1:5" x14ac:dyDescent="0.3">
      <c r="A25" t="s">
        <v>5</v>
      </c>
      <c r="B25" t="s">
        <v>10</v>
      </c>
      <c r="C25" t="s">
        <v>23</v>
      </c>
      <c r="D25">
        <v>58792</v>
      </c>
      <c r="E25">
        <v>138859</v>
      </c>
    </row>
    <row r="26" spans="1:5" x14ac:dyDescent="0.3">
      <c r="A26" t="s">
        <v>5</v>
      </c>
      <c r="B26" t="s">
        <v>11</v>
      </c>
      <c r="C26" t="s">
        <v>12</v>
      </c>
      <c r="D26">
        <v>118148</v>
      </c>
      <c r="E26">
        <v>53483</v>
      </c>
    </row>
    <row r="27" spans="1:5" x14ac:dyDescent="0.3">
      <c r="A27" t="s">
        <v>5</v>
      </c>
      <c r="B27" t="s">
        <v>11</v>
      </c>
      <c r="C27" t="s">
        <v>13</v>
      </c>
      <c r="D27">
        <v>174358</v>
      </c>
      <c r="E27">
        <v>78555</v>
      </c>
    </row>
    <row r="28" spans="1:5" x14ac:dyDescent="0.3">
      <c r="A28" t="s">
        <v>5</v>
      </c>
      <c r="B28" t="s">
        <v>11</v>
      </c>
      <c r="C28" t="s">
        <v>14</v>
      </c>
      <c r="D28">
        <v>67159</v>
      </c>
      <c r="E28">
        <v>140510</v>
      </c>
    </row>
    <row r="29" spans="1:5" x14ac:dyDescent="0.3">
      <c r="A29" t="s">
        <v>5</v>
      </c>
      <c r="B29" t="s">
        <v>11</v>
      </c>
      <c r="C29" t="s">
        <v>15</v>
      </c>
      <c r="D29">
        <v>156530</v>
      </c>
      <c r="E29">
        <v>110077</v>
      </c>
    </row>
    <row r="30" spans="1:5" x14ac:dyDescent="0.3">
      <c r="A30" t="s">
        <v>5</v>
      </c>
      <c r="B30" t="s">
        <v>11</v>
      </c>
      <c r="C30" t="s">
        <v>16</v>
      </c>
      <c r="D30">
        <v>85920</v>
      </c>
      <c r="E30">
        <v>122067</v>
      </c>
    </row>
    <row r="31" spans="1:5" x14ac:dyDescent="0.3">
      <c r="A31" t="s">
        <v>5</v>
      </c>
      <c r="B31" t="s">
        <v>11</v>
      </c>
      <c r="C31" t="s">
        <v>17</v>
      </c>
      <c r="D31">
        <v>69457</v>
      </c>
      <c r="E31">
        <v>96557</v>
      </c>
    </row>
    <row r="32" spans="1:5" x14ac:dyDescent="0.3">
      <c r="A32" t="s">
        <v>5</v>
      </c>
      <c r="B32" t="s">
        <v>11</v>
      </c>
      <c r="C32" t="s">
        <v>18</v>
      </c>
      <c r="D32">
        <v>128953</v>
      </c>
      <c r="E32">
        <v>82995</v>
      </c>
    </row>
    <row r="33" spans="1:5" x14ac:dyDescent="0.3">
      <c r="A33" t="s">
        <v>5</v>
      </c>
      <c r="B33" t="s">
        <v>11</v>
      </c>
      <c r="C33" t="s">
        <v>19</v>
      </c>
      <c r="D33">
        <v>59692</v>
      </c>
      <c r="E33">
        <v>75758</v>
      </c>
    </row>
    <row r="34" spans="1:5" x14ac:dyDescent="0.3">
      <c r="A34" t="s">
        <v>5</v>
      </c>
      <c r="B34" t="s">
        <v>11</v>
      </c>
      <c r="C34" t="s">
        <v>20</v>
      </c>
      <c r="D34">
        <v>87065</v>
      </c>
      <c r="E34">
        <v>122093</v>
      </c>
    </row>
    <row r="35" spans="1:5" x14ac:dyDescent="0.3">
      <c r="A35" t="s">
        <v>5</v>
      </c>
      <c r="B35" t="s">
        <v>11</v>
      </c>
      <c r="C35" t="s">
        <v>21</v>
      </c>
      <c r="D35">
        <v>149299</v>
      </c>
      <c r="E35">
        <v>62606</v>
      </c>
    </row>
    <row r="36" spans="1:5" x14ac:dyDescent="0.3">
      <c r="A36" t="s">
        <v>5</v>
      </c>
      <c r="B36" t="s">
        <v>11</v>
      </c>
      <c r="C36" t="s">
        <v>22</v>
      </c>
      <c r="D36">
        <v>61534</v>
      </c>
      <c r="E36">
        <v>124663</v>
      </c>
    </row>
    <row r="37" spans="1:5" x14ac:dyDescent="0.3">
      <c r="A37" t="s">
        <v>5</v>
      </c>
      <c r="B37" t="s">
        <v>11</v>
      </c>
      <c r="C37" t="s">
        <v>23</v>
      </c>
      <c r="D37">
        <v>90397</v>
      </c>
      <c r="E37">
        <v>121387</v>
      </c>
    </row>
    <row r="38" spans="1:5" x14ac:dyDescent="0.3">
      <c r="A38" t="s">
        <v>6</v>
      </c>
      <c r="B38" t="s">
        <v>9</v>
      </c>
      <c r="C38" t="s">
        <v>12</v>
      </c>
      <c r="D38">
        <v>51016</v>
      </c>
      <c r="E38">
        <v>119789</v>
      </c>
    </row>
    <row r="39" spans="1:5" x14ac:dyDescent="0.3">
      <c r="A39" t="s">
        <v>6</v>
      </c>
      <c r="B39" t="s">
        <v>9</v>
      </c>
      <c r="C39" t="s">
        <v>13</v>
      </c>
      <c r="D39">
        <v>105591</v>
      </c>
      <c r="E39">
        <v>119812</v>
      </c>
    </row>
    <row r="40" spans="1:5" x14ac:dyDescent="0.3">
      <c r="A40" t="s">
        <v>6</v>
      </c>
      <c r="B40" t="s">
        <v>9</v>
      </c>
      <c r="C40" t="s">
        <v>14</v>
      </c>
      <c r="D40">
        <v>73247</v>
      </c>
      <c r="E40">
        <v>54300</v>
      </c>
    </row>
    <row r="41" spans="1:5" x14ac:dyDescent="0.3">
      <c r="A41" t="s">
        <v>6</v>
      </c>
      <c r="B41" t="s">
        <v>9</v>
      </c>
      <c r="C41" t="s">
        <v>15</v>
      </c>
      <c r="D41">
        <v>132798</v>
      </c>
      <c r="E41">
        <v>39268</v>
      </c>
    </row>
    <row r="42" spans="1:5" x14ac:dyDescent="0.3">
      <c r="A42" t="s">
        <v>6</v>
      </c>
      <c r="B42" t="s">
        <v>9</v>
      </c>
      <c r="C42" t="s">
        <v>16</v>
      </c>
      <c r="D42">
        <v>136807</v>
      </c>
      <c r="E42">
        <v>42185</v>
      </c>
    </row>
    <row r="43" spans="1:5" x14ac:dyDescent="0.3">
      <c r="A43" t="s">
        <v>6</v>
      </c>
      <c r="B43" t="s">
        <v>9</v>
      </c>
      <c r="C43" t="s">
        <v>17</v>
      </c>
      <c r="D43">
        <v>189643</v>
      </c>
      <c r="E43">
        <v>135512</v>
      </c>
    </row>
    <row r="44" spans="1:5" x14ac:dyDescent="0.3">
      <c r="A44" t="s">
        <v>6</v>
      </c>
      <c r="B44" t="s">
        <v>9</v>
      </c>
      <c r="C44" t="s">
        <v>18</v>
      </c>
      <c r="D44">
        <v>88044</v>
      </c>
      <c r="E44">
        <v>81214</v>
      </c>
    </row>
    <row r="45" spans="1:5" x14ac:dyDescent="0.3">
      <c r="A45" t="s">
        <v>6</v>
      </c>
      <c r="B45" t="s">
        <v>9</v>
      </c>
      <c r="C45" t="s">
        <v>19</v>
      </c>
      <c r="D45">
        <v>164752</v>
      </c>
      <c r="E45">
        <v>78984</v>
      </c>
    </row>
    <row r="46" spans="1:5" x14ac:dyDescent="0.3">
      <c r="A46" t="s">
        <v>6</v>
      </c>
      <c r="B46" t="s">
        <v>9</v>
      </c>
      <c r="C46" t="s">
        <v>20</v>
      </c>
      <c r="D46">
        <v>90774</v>
      </c>
      <c r="E46">
        <v>32568</v>
      </c>
    </row>
    <row r="47" spans="1:5" x14ac:dyDescent="0.3">
      <c r="A47" t="s">
        <v>6</v>
      </c>
      <c r="B47" t="s">
        <v>9</v>
      </c>
      <c r="C47" t="s">
        <v>21</v>
      </c>
      <c r="D47">
        <v>170151</v>
      </c>
      <c r="E47">
        <v>92592</v>
      </c>
    </row>
    <row r="48" spans="1:5" x14ac:dyDescent="0.3">
      <c r="A48" t="s">
        <v>6</v>
      </c>
      <c r="B48" t="s">
        <v>9</v>
      </c>
      <c r="C48" t="s">
        <v>22</v>
      </c>
      <c r="D48">
        <v>183767</v>
      </c>
      <c r="E48">
        <v>78190</v>
      </c>
    </row>
    <row r="49" spans="1:5" x14ac:dyDescent="0.3">
      <c r="A49" t="s">
        <v>6</v>
      </c>
      <c r="B49" t="s">
        <v>9</v>
      </c>
      <c r="C49" t="s">
        <v>23</v>
      </c>
      <c r="D49">
        <v>186330</v>
      </c>
      <c r="E49">
        <v>117538</v>
      </c>
    </row>
    <row r="50" spans="1:5" x14ac:dyDescent="0.3">
      <c r="A50" t="s">
        <v>6</v>
      </c>
      <c r="B50" t="s">
        <v>10</v>
      </c>
      <c r="C50" t="s">
        <v>12</v>
      </c>
      <c r="D50">
        <v>89504</v>
      </c>
      <c r="E50">
        <v>63159</v>
      </c>
    </row>
    <row r="51" spans="1:5" x14ac:dyDescent="0.3">
      <c r="A51" t="s">
        <v>6</v>
      </c>
      <c r="B51" t="s">
        <v>10</v>
      </c>
      <c r="C51" t="s">
        <v>13</v>
      </c>
      <c r="D51">
        <v>63986</v>
      </c>
      <c r="E51">
        <v>91858</v>
      </c>
    </row>
    <row r="52" spans="1:5" x14ac:dyDescent="0.3">
      <c r="A52" t="s">
        <v>6</v>
      </c>
      <c r="B52" t="s">
        <v>10</v>
      </c>
      <c r="C52" t="s">
        <v>14</v>
      </c>
      <c r="D52">
        <v>179312</v>
      </c>
      <c r="E52">
        <v>42666</v>
      </c>
    </row>
    <row r="53" spans="1:5" x14ac:dyDescent="0.3">
      <c r="A53" t="s">
        <v>6</v>
      </c>
      <c r="B53" t="s">
        <v>10</v>
      </c>
      <c r="C53" t="s">
        <v>15</v>
      </c>
      <c r="D53">
        <v>88660</v>
      </c>
      <c r="E53">
        <v>33561</v>
      </c>
    </row>
    <row r="54" spans="1:5" x14ac:dyDescent="0.3">
      <c r="A54" t="s">
        <v>6</v>
      </c>
      <c r="B54" t="s">
        <v>10</v>
      </c>
      <c r="C54" t="s">
        <v>16</v>
      </c>
      <c r="D54">
        <v>76854</v>
      </c>
      <c r="E54">
        <v>94505</v>
      </c>
    </row>
    <row r="55" spans="1:5" x14ac:dyDescent="0.3">
      <c r="A55" t="s">
        <v>6</v>
      </c>
      <c r="B55" t="s">
        <v>10</v>
      </c>
      <c r="C55" t="s">
        <v>17</v>
      </c>
      <c r="D55">
        <v>154488</v>
      </c>
      <c r="E55">
        <v>82251</v>
      </c>
    </row>
    <row r="56" spans="1:5" x14ac:dyDescent="0.3">
      <c r="A56" t="s">
        <v>6</v>
      </c>
      <c r="B56" t="s">
        <v>10</v>
      </c>
      <c r="C56" t="s">
        <v>18</v>
      </c>
      <c r="D56">
        <v>72662</v>
      </c>
      <c r="E56">
        <v>38392</v>
      </c>
    </row>
    <row r="57" spans="1:5" x14ac:dyDescent="0.3">
      <c r="A57" t="s">
        <v>6</v>
      </c>
      <c r="B57" t="s">
        <v>10</v>
      </c>
      <c r="C57" t="s">
        <v>19</v>
      </c>
      <c r="D57">
        <v>80535</v>
      </c>
      <c r="E57">
        <v>108603</v>
      </c>
    </row>
    <row r="58" spans="1:5" x14ac:dyDescent="0.3">
      <c r="A58" t="s">
        <v>6</v>
      </c>
      <c r="B58" t="s">
        <v>10</v>
      </c>
      <c r="C58" t="s">
        <v>20</v>
      </c>
      <c r="D58">
        <v>163569</v>
      </c>
      <c r="E58">
        <v>82256</v>
      </c>
    </row>
    <row r="59" spans="1:5" x14ac:dyDescent="0.3">
      <c r="A59" t="s">
        <v>6</v>
      </c>
      <c r="B59" t="s">
        <v>10</v>
      </c>
      <c r="C59" t="s">
        <v>21</v>
      </c>
      <c r="D59">
        <v>139135</v>
      </c>
      <c r="E59">
        <v>65222</v>
      </c>
    </row>
    <row r="60" spans="1:5" x14ac:dyDescent="0.3">
      <c r="A60" t="s">
        <v>6</v>
      </c>
      <c r="B60" t="s">
        <v>10</v>
      </c>
      <c r="C60" t="s">
        <v>22</v>
      </c>
      <c r="D60">
        <v>127373</v>
      </c>
      <c r="E60">
        <v>109575</v>
      </c>
    </row>
    <row r="61" spans="1:5" x14ac:dyDescent="0.3">
      <c r="A61" t="s">
        <v>6</v>
      </c>
      <c r="B61" t="s">
        <v>10</v>
      </c>
      <c r="C61" t="s">
        <v>23</v>
      </c>
      <c r="D61">
        <v>173684</v>
      </c>
      <c r="E61">
        <v>126354</v>
      </c>
    </row>
    <row r="62" spans="1:5" x14ac:dyDescent="0.3">
      <c r="A62" t="s">
        <v>6</v>
      </c>
      <c r="B62" t="s">
        <v>11</v>
      </c>
      <c r="C62" t="s">
        <v>12</v>
      </c>
      <c r="D62">
        <v>60965</v>
      </c>
      <c r="E62">
        <v>54538</v>
      </c>
    </row>
    <row r="63" spans="1:5" x14ac:dyDescent="0.3">
      <c r="A63" t="s">
        <v>6</v>
      </c>
      <c r="B63" t="s">
        <v>11</v>
      </c>
      <c r="C63" t="s">
        <v>13</v>
      </c>
      <c r="D63">
        <v>158066</v>
      </c>
      <c r="E63">
        <v>100592</v>
      </c>
    </row>
    <row r="64" spans="1:5" x14ac:dyDescent="0.3">
      <c r="A64" t="s">
        <v>6</v>
      </c>
      <c r="B64" t="s">
        <v>11</v>
      </c>
      <c r="C64" t="s">
        <v>14</v>
      </c>
      <c r="D64">
        <v>163252</v>
      </c>
      <c r="E64">
        <v>38110</v>
      </c>
    </row>
    <row r="65" spans="1:5" x14ac:dyDescent="0.3">
      <c r="A65" t="s">
        <v>6</v>
      </c>
      <c r="B65" t="s">
        <v>11</v>
      </c>
      <c r="C65" t="s">
        <v>15</v>
      </c>
      <c r="D65">
        <v>148806</v>
      </c>
      <c r="E65">
        <v>36910</v>
      </c>
    </row>
    <row r="66" spans="1:5" x14ac:dyDescent="0.3">
      <c r="A66" t="s">
        <v>6</v>
      </c>
      <c r="B66" t="s">
        <v>11</v>
      </c>
      <c r="C66" t="s">
        <v>16</v>
      </c>
      <c r="D66">
        <v>160989</v>
      </c>
      <c r="E66">
        <v>120982</v>
      </c>
    </row>
    <row r="67" spans="1:5" x14ac:dyDescent="0.3">
      <c r="A67" t="s">
        <v>6</v>
      </c>
      <c r="B67" t="s">
        <v>11</v>
      </c>
      <c r="C67" t="s">
        <v>17</v>
      </c>
      <c r="D67">
        <v>171626</v>
      </c>
      <c r="E67">
        <v>149176</v>
      </c>
    </row>
    <row r="68" spans="1:5" x14ac:dyDescent="0.3">
      <c r="A68" t="s">
        <v>6</v>
      </c>
      <c r="B68" t="s">
        <v>11</v>
      </c>
      <c r="C68" t="s">
        <v>18</v>
      </c>
      <c r="D68">
        <v>181278</v>
      </c>
      <c r="E68">
        <v>117054</v>
      </c>
    </row>
    <row r="69" spans="1:5" x14ac:dyDescent="0.3">
      <c r="A69" t="s">
        <v>6</v>
      </c>
      <c r="B69" t="s">
        <v>11</v>
      </c>
      <c r="C69" t="s">
        <v>19</v>
      </c>
      <c r="D69">
        <v>172409</v>
      </c>
      <c r="E69">
        <v>53419</v>
      </c>
    </row>
    <row r="70" spans="1:5" x14ac:dyDescent="0.3">
      <c r="A70" t="s">
        <v>6</v>
      </c>
      <c r="B70" t="s">
        <v>11</v>
      </c>
      <c r="C70" t="s">
        <v>20</v>
      </c>
      <c r="D70">
        <v>100015</v>
      </c>
      <c r="E70">
        <v>147478</v>
      </c>
    </row>
    <row r="71" spans="1:5" x14ac:dyDescent="0.3">
      <c r="A71" t="s">
        <v>6</v>
      </c>
      <c r="B71" t="s">
        <v>11</v>
      </c>
      <c r="C71" t="s">
        <v>21</v>
      </c>
      <c r="D71">
        <v>172096</v>
      </c>
      <c r="E71">
        <v>137059</v>
      </c>
    </row>
    <row r="72" spans="1:5" x14ac:dyDescent="0.3">
      <c r="A72" t="s">
        <v>6</v>
      </c>
      <c r="B72" t="s">
        <v>11</v>
      </c>
      <c r="C72" t="s">
        <v>22</v>
      </c>
      <c r="D72">
        <v>160687</v>
      </c>
      <c r="E72">
        <v>117939</v>
      </c>
    </row>
    <row r="73" spans="1:5" x14ac:dyDescent="0.3">
      <c r="A73" t="s">
        <v>6</v>
      </c>
      <c r="B73" t="s">
        <v>11</v>
      </c>
      <c r="C73" t="s">
        <v>23</v>
      </c>
      <c r="D73">
        <v>199213</v>
      </c>
      <c r="E73">
        <v>110356</v>
      </c>
    </row>
    <row r="74" spans="1:5" x14ac:dyDescent="0.3">
      <c r="A74" t="s">
        <v>7</v>
      </c>
      <c r="B74" t="s">
        <v>9</v>
      </c>
      <c r="C74" t="s">
        <v>12</v>
      </c>
      <c r="D74">
        <v>155878</v>
      </c>
      <c r="E74">
        <v>101910</v>
      </c>
    </row>
    <row r="75" spans="1:5" x14ac:dyDescent="0.3">
      <c r="A75" t="s">
        <v>7</v>
      </c>
      <c r="B75" t="s">
        <v>9</v>
      </c>
      <c r="C75" t="s">
        <v>13</v>
      </c>
      <c r="D75">
        <v>112623</v>
      </c>
      <c r="E75">
        <v>111734</v>
      </c>
    </row>
    <row r="76" spans="1:5" x14ac:dyDescent="0.3">
      <c r="A76" t="s">
        <v>7</v>
      </c>
      <c r="B76" t="s">
        <v>9</v>
      </c>
      <c r="C76" t="s">
        <v>14</v>
      </c>
      <c r="D76">
        <v>125450</v>
      </c>
      <c r="E76">
        <v>123426</v>
      </c>
    </row>
    <row r="77" spans="1:5" x14ac:dyDescent="0.3">
      <c r="A77" t="s">
        <v>7</v>
      </c>
      <c r="B77" t="s">
        <v>9</v>
      </c>
      <c r="C77" t="s">
        <v>15</v>
      </c>
      <c r="D77">
        <v>167845</v>
      </c>
      <c r="E77">
        <v>52299</v>
      </c>
    </row>
    <row r="78" spans="1:5" x14ac:dyDescent="0.3">
      <c r="A78" t="s">
        <v>7</v>
      </c>
      <c r="B78" t="s">
        <v>9</v>
      </c>
      <c r="C78" t="s">
        <v>16</v>
      </c>
      <c r="D78">
        <v>93585</v>
      </c>
      <c r="E78">
        <v>139225</v>
      </c>
    </row>
    <row r="79" spans="1:5" x14ac:dyDescent="0.3">
      <c r="A79" t="s">
        <v>7</v>
      </c>
      <c r="B79" t="s">
        <v>9</v>
      </c>
      <c r="C79" t="s">
        <v>17</v>
      </c>
      <c r="D79">
        <v>114044</v>
      </c>
      <c r="E79">
        <v>72557</v>
      </c>
    </row>
    <row r="80" spans="1:5" x14ac:dyDescent="0.3">
      <c r="A80" t="s">
        <v>7</v>
      </c>
      <c r="B80" t="s">
        <v>9</v>
      </c>
      <c r="C80" t="s">
        <v>18</v>
      </c>
      <c r="D80">
        <v>159556</v>
      </c>
      <c r="E80">
        <v>32693</v>
      </c>
    </row>
    <row r="81" spans="1:5" x14ac:dyDescent="0.3">
      <c r="A81" t="s">
        <v>7</v>
      </c>
      <c r="B81" t="s">
        <v>9</v>
      </c>
      <c r="C81" t="s">
        <v>19</v>
      </c>
      <c r="D81">
        <v>145259</v>
      </c>
      <c r="E81">
        <v>142235</v>
      </c>
    </row>
    <row r="82" spans="1:5" x14ac:dyDescent="0.3">
      <c r="A82" t="s">
        <v>7</v>
      </c>
      <c r="B82" t="s">
        <v>9</v>
      </c>
      <c r="C82" t="s">
        <v>20</v>
      </c>
      <c r="D82">
        <v>75939</v>
      </c>
      <c r="E82">
        <v>78925</v>
      </c>
    </row>
    <row r="83" spans="1:5" x14ac:dyDescent="0.3">
      <c r="A83" t="s">
        <v>7</v>
      </c>
      <c r="B83" t="s">
        <v>9</v>
      </c>
      <c r="C83" t="s">
        <v>21</v>
      </c>
      <c r="D83">
        <v>68047</v>
      </c>
      <c r="E83">
        <v>56105</v>
      </c>
    </row>
    <row r="84" spans="1:5" x14ac:dyDescent="0.3">
      <c r="A84" t="s">
        <v>7</v>
      </c>
      <c r="B84" t="s">
        <v>9</v>
      </c>
      <c r="C84" t="s">
        <v>22</v>
      </c>
      <c r="D84">
        <v>125766</v>
      </c>
      <c r="E84">
        <v>45707</v>
      </c>
    </row>
    <row r="85" spans="1:5" x14ac:dyDescent="0.3">
      <c r="A85" t="s">
        <v>7</v>
      </c>
      <c r="B85" t="s">
        <v>9</v>
      </c>
      <c r="C85" t="s">
        <v>23</v>
      </c>
      <c r="D85">
        <v>94262</v>
      </c>
      <c r="E85">
        <v>53776</v>
      </c>
    </row>
    <row r="86" spans="1:5" x14ac:dyDescent="0.3">
      <c r="A86" t="s">
        <v>7</v>
      </c>
      <c r="B86" t="s">
        <v>10</v>
      </c>
      <c r="C86" t="s">
        <v>12</v>
      </c>
      <c r="D86">
        <v>178376</v>
      </c>
      <c r="E86">
        <v>96842</v>
      </c>
    </row>
    <row r="87" spans="1:5" x14ac:dyDescent="0.3">
      <c r="A87" t="s">
        <v>7</v>
      </c>
      <c r="B87" t="s">
        <v>10</v>
      </c>
      <c r="C87" t="s">
        <v>13</v>
      </c>
      <c r="D87">
        <v>187848</v>
      </c>
      <c r="E87">
        <v>122787</v>
      </c>
    </row>
    <row r="88" spans="1:5" x14ac:dyDescent="0.3">
      <c r="A88" t="s">
        <v>7</v>
      </c>
      <c r="B88" t="s">
        <v>10</v>
      </c>
      <c r="C88" t="s">
        <v>14</v>
      </c>
      <c r="D88">
        <v>177948</v>
      </c>
      <c r="E88">
        <v>85016</v>
      </c>
    </row>
    <row r="89" spans="1:5" x14ac:dyDescent="0.3">
      <c r="A89" t="s">
        <v>7</v>
      </c>
      <c r="B89" t="s">
        <v>10</v>
      </c>
      <c r="C89" t="s">
        <v>15</v>
      </c>
      <c r="D89">
        <v>190546</v>
      </c>
      <c r="E89">
        <v>135830</v>
      </c>
    </row>
    <row r="90" spans="1:5" x14ac:dyDescent="0.3">
      <c r="A90" t="s">
        <v>7</v>
      </c>
      <c r="B90" t="s">
        <v>10</v>
      </c>
      <c r="C90" t="s">
        <v>16</v>
      </c>
      <c r="D90">
        <v>71959</v>
      </c>
      <c r="E90">
        <v>35530</v>
      </c>
    </row>
    <row r="91" spans="1:5" x14ac:dyDescent="0.3">
      <c r="A91" t="s">
        <v>7</v>
      </c>
      <c r="B91" t="s">
        <v>10</v>
      </c>
      <c r="C91" t="s">
        <v>17</v>
      </c>
      <c r="D91">
        <v>169101</v>
      </c>
      <c r="E91">
        <v>33748</v>
      </c>
    </row>
    <row r="92" spans="1:5" x14ac:dyDescent="0.3">
      <c r="A92" t="s">
        <v>7</v>
      </c>
      <c r="B92" t="s">
        <v>10</v>
      </c>
      <c r="C92" t="s">
        <v>18</v>
      </c>
      <c r="D92">
        <v>63545</v>
      </c>
      <c r="E92">
        <v>96199</v>
      </c>
    </row>
    <row r="93" spans="1:5" x14ac:dyDescent="0.3">
      <c r="A93" t="s">
        <v>7</v>
      </c>
      <c r="B93" t="s">
        <v>10</v>
      </c>
      <c r="C93" t="s">
        <v>19</v>
      </c>
      <c r="D93">
        <v>123530</v>
      </c>
      <c r="E93">
        <v>123557</v>
      </c>
    </row>
    <row r="94" spans="1:5" x14ac:dyDescent="0.3">
      <c r="A94" t="s">
        <v>7</v>
      </c>
      <c r="B94" t="s">
        <v>10</v>
      </c>
      <c r="C94" t="s">
        <v>20</v>
      </c>
      <c r="D94">
        <v>111087</v>
      </c>
      <c r="E94">
        <v>125839</v>
      </c>
    </row>
    <row r="95" spans="1:5" x14ac:dyDescent="0.3">
      <c r="A95" t="s">
        <v>7</v>
      </c>
      <c r="B95" t="s">
        <v>10</v>
      </c>
      <c r="C95" t="s">
        <v>21</v>
      </c>
      <c r="D95">
        <v>118840</v>
      </c>
      <c r="E95">
        <v>148451</v>
      </c>
    </row>
    <row r="96" spans="1:5" x14ac:dyDescent="0.3">
      <c r="A96" t="s">
        <v>7</v>
      </c>
      <c r="B96" t="s">
        <v>10</v>
      </c>
      <c r="C96" t="s">
        <v>22</v>
      </c>
      <c r="D96">
        <v>101005</v>
      </c>
      <c r="E96">
        <v>76576</v>
      </c>
    </row>
    <row r="97" spans="1:5" x14ac:dyDescent="0.3">
      <c r="A97" t="s">
        <v>7</v>
      </c>
      <c r="B97" t="s">
        <v>10</v>
      </c>
      <c r="C97" t="s">
        <v>23</v>
      </c>
      <c r="D97">
        <v>89353</v>
      </c>
      <c r="E97">
        <v>92003</v>
      </c>
    </row>
    <row r="98" spans="1:5" x14ac:dyDescent="0.3">
      <c r="A98" t="s">
        <v>7</v>
      </c>
      <c r="B98" t="s">
        <v>11</v>
      </c>
      <c r="C98" t="s">
        <v>12</v>
      </c>
      <c r="D98">
        <v>102733</v>
      </c>
      <c r="E98">
        <v>95318</v>
      </c>
    </row>
    <row r="99" spans="1:5" x14ac:dyDescent="0.3">
      <c r="A99" t="s">
        <v>7</v>
      </c>
      <c r="B99" t="s">
        <v>11</v>
      </c>
      <c r="C99" t="s">
        <v>13</v>
      </c>
      <c r="D99">
        <v>117172</v>
      </c>
      <c r="E99">
        <v>115616</v>
      </c>
    </row>
    <row r="100" spans="1:5" x14ac:dyDescent="0.3">
      <c r="A100" t="s">
        <v>7</v>
      </c>
      <c r="B100" t="s">
        <v>11</v>
      </c>
      <c r="C100" t="s">
        <v>14</v>
      </c>
      <c r="D100">
        <v>143264</v>
      </c>
      <c r="E100">
        <v>145386</v>
      </c>
    </row>
    <row r="101" spans="1:5" x14ac:dyDescent="0.3">
      <c r="A101" t="s">
        <v>7</v>
      </c>
      <c r="B101" t="s">
        <v>11</v>
      </c>
      <c r="C101" t="s">
        <v>15</v>
      </c>
      <c r="D101">
        <v>76736</v>
      </c>
      <c r="E101">
        <v>124209</v>
      </c>
    </row>
    <row r="102" spans="1:5" x14ac:dyDescent="0.3">
      <c r="A102" t="s">
        <v>7</v>
      </c>
      <c r="B102" t="s">
        <v>11</v>
      </c>
      <c r="C102" t="s">
        <v>16</v>
      </c>
      <c r="D102">
        <v>162859</v>
      </c>
      <c r="E102">
        <v>142181</v>
      </c>
    </row>
    <row r="103" spans="1:5" x14ac:dyDescent="0.3">
      <c r="A103" t="s">
        <v>7</v>
      </c>
      <c r="B103" t="s">
        <v>11</v>
      </c>
      <c r="C103" t="s">
        <v>17</v>
      </c>
      <c r="D103">
        <v>181926</v>
      </c>
      <c r="E103">
        <v>120084</v>
      </c>
    </row>
    <row r="104" spans="1:5" x14ac:dyDescent="0.3">
      <c r="A104" t="s">
        <v>7</v>
      </c>
      <c r="B104" t="s">
        <v>11</v>
      </c>
      <c r="C104" t="s">
        <v>18</v>
      </c>
      <c r="D104">
        <v>57392</v>
      </c>
      <c r="E104">
        <v>85680</v>
      </c>
    </row>
    <row r="105" spans="1:5" x14ac:dyDescent="0.3">
      <c r="A105" t="s">
        <v>7</v>
      </c>
      <c r="B105" t="s">
        <v>11</v>
      </c>
      <c r="C105" t="s">
        <v>19</v>
      </c>
      <c r="D105">
        <v>100859</v>
      </c>
      <c r="E105">
        <v>134095</v>
      </c>
    </row>
    <row r="106" spans="1:5" x14ac:dyDescent="0.3">
      <c r="A106" t="s">
        <v>7</v>
      </c>
      <c r="B106" t="s">
        <v>11</v>
      </c>
      <c r="C106" t="s">
        <v>20</v>
      </c>
      <c r="D106">
        <v>120467</v>
      </c>
      <c r="E106">
        <v>82662</v>
      </c>
    </row>
    <row r="107" spans="1:5" x14ac:dyDescent="0.3">
      <c r="A107" t="s">
        <v>7</v>
      </c>
      <c r="B107" t="s">
        <v>11</v>
      </c>
      <c r="C107" t="s">
        <v>21</v>
      </c>
      <c r="D107">
        <v>148506</v>
      </c>
      <c r="E107">
        <v>139751</v>
      </c>
    </row>
    <row r="108" spans="1:5" x14ac:dyDescent="0.3">
      <c r="A108" t="s">
        <v>7</v>
      </c>
      <c r="B108" t="s">
        <v>11</v>
      </c>
      <c r="C108" t="s">
        <v>22</v>
      </c>
      <c r="D108">
        <v>168906</v>
      </c>
      <c r="E108">
        <v>42688</v>
      </c>
    </row>
    <row r="109" spans="1:5" x14ac:dyDescent="0.3">
      <c r="A109" t="s">
        <v>7</v>
      </c>
      <c r="B109" t="s">
        <v>11</v>
      </c>
      <c r="C109" t="s">
        <v>23</v>
      </c>
      <c r="D109">
        <v>75342</v>
      </c>
      <c r="E109">
        <v>67157</v>
      </c>
    </row>
    <row r="110" spans="1:5" x14ac:dyDescent="0.3">
      <c r="A110" t="s">
        <v>8</v>
      </c>
      <c r="B110" t="s">
        <v>9</v>
      </c>
      <c r="C110" t="s">
        <v>12</v>
      </c>
      <c r="D110">
        <v>156308</v>
      </c>
      <c r="E110">
        <v>82083</v>
      </c>
    </row>
    <row r="111" spans="1:5" x14ac:dyDescent="0.3">
      <c r="A111" t="s">
        <v>8</v>
      </c>
      <c r="B111" t="s">
        <v>9</v>
      </c>
      <c r="C111" t="s">
        <v>13</v>
      </c>
      <c r="D111">
        <v>156081</v>
      </c>
      <c r="E111">
        <v>95733</v>
      </c>
    </row>
    <row r="112" spans="1:5" x14ac:dyDescent="0.3">
      <c r="A112" t="s">
        <v>8</v>
      </c>
      <c r="B112" t="s">
        <v>9</v>
      </c>
      <c r="C112" t="s">
        <v>14</v>
      </c>
      <c r="D112">
        <v>139045</v>
      </c>
      <c r="E112">
        <v>64698</v>
      </c>
    </row>
    <row r="113" spans="1:5" x14ac:dyDescent="0.3">
      <c r="A113" t="s">
        <v>8</v>
      </c>
      <c r="B113" t="s">
        <v>9</v>
      </c>
      <c r="C113" t="s">
        <v>15</v>
      </c>
      <c r="D113">
        <v>160078</v>
      </c>
      <c r="E113">
        <v>110623</v>
      </c>
    </row>
    <row r="114" spans="1:5" x14ac:dyDescent="0.3">
      <c r="A114" t="s">
        <v>8</v>
      </c>
      <c r="B114" t="s">
        <v>9</v>
      </c>
      <c r="C114" t="s">
        <v>16</v>
      </c>
      <c r="D114">
        <v>72671</v>
      </c>
      <c r="E114">
        <v>55184</v>
      </c>
    </row>
    <row r="115" spans="1:5" x14ac:dyDescent="0.3">
      <c r="A115" t="s">
        <v>8</v>
      </c>
      <c r="B115" t="s">
        <v>9</v>
      </c>
      <c r="C115" t="s">
        <v>17</v>
      </c>
      <c r="D115">
        <v>143384</v>
      </c>
      <c r="E115">
        <v>72107</v>
      </c>
    </row>
    <row r="116" spans="1:5" x14ac:dyDescent="0.3">
      <c r="A116" t="s">
        <v>8</v>
      </c>
      <c r="B116" t="s">
        <v>9</v>
      </c>
      <c r="C116" t="s">
        <v>18</v>
      </c>
      <c r="D116">
        <v>136202</v>
      </c>
      <c r="E116">
        <v>139893</v>
      </c>
    </row>
    <row r="117" spans="1:5" x14ac:dyDescent="0.3">
      <c r="A117" t="s">
        <v>8</v>
      </c>
      <c r="B117" t="s">
        <v>9</v>
      </c>
      <c r="C117" t="s">
        <v>19</v>
      </c>
      <c r="D117">
        <v>101663</v>
      </c>
      <c r="E117">
        <v>45708</v>
      </c>
    </row>
    <row r="118" spans="1:5" x14ac:dyDescent="0.3">
      <c r="A118" t="s">
        <v>8</v>
      </c>
      <c r="B118" t="s">
        <v>9</v>
      </c>
      <c r="C118" t="s">
        <v>20</v>
      </c>
      <c r="D118">
        <v>141906</v>
      </c>
      <c r="E118">
        <v>79811</v>
      </c>
    </row>
    <row r="119" spans="1:5" x14ac:dyDescent="0.3">
      <c r="A119" t="s">
        <v>8</v>
      </c>
      <c r="B119" t="s">
        <v>9</v>
      </c>
      <c r="C119" t="s">
        <v>21</v>
      </c>
      <c r="D119">
        <v>183883</v>
      </c>
      <c r="E119">
        <v>86250</v>
      </c>
    </row>
    <row r="120" spans="1:5" x14ac:dyDescent="0.3">
      <c r="A120" t="s">
        <v>8</v>
      </c>
      <c r="B120" t="s">
        <v>9</v>
      </c>
      <c r="C120" t="s">
        <v>22</v>
      </c>
      <c r="D120">
        <v>162547</v>
      </c>
      <c r="E120">
        <v>102082</v>
      </c>
    </row>
    <row r="121" spans="1:5" x14ac:dyDescent="0.3">
      <c r="A121" t="s">
        <v>8</v>
      </c>
      <c r="B121" t="s">
        <v>9</v>
      </c>
      <c r="C121" t="s">
        <v>23</v>
      </c>
      <c r="D121">
        <v>174249</v>
      </c>
      <c r="E121">
        <v>64754</v>
      </c>
    </row>
    <row r="122" spans="1:5" x14ac:dyDescent="0.3">
      <c r="A122" t="s">
        <v>8</v>
      </c>
      <c r="B122" t="s">
        <v>10</v>
      </c>
      <c r="C122" t="s">
        <v>12</v>
      </c>
      <c r="D122">
        <v>192483</v>
      </c>
      <c r="E122">
        <v>32911</v>
      </c>
    </row>
    <row r="123" spans="1:5" x14ac:dyDescent="0.3">
      <c r="A123" t="s">
        <v>8</v>
      </c>
      <c r="B123" t="s">
        <v>10</v>
      </c>
      <c r="C123" t="s">
        <v>13</v>
      </c>
      <c r="D123">
        <v>189752</v>
      </c>
      <c r="E123">
        <v>114896</v>
      </c>
    </row>
    <row r="124" spans="1:5" x14ac:dyDescent="0.3">
      <c r="A124" t="s">
        <v>8</v>
      </c>
      <c r="B124" t="s">
        <v>10</v>
      </c>
      <c r="C124" t="s">
        <v>14</v>
      </c>
      <c r="D124">
        <v>121295</v>
      </c>
      <c r="E124">
        <v>118614</v>
      </c>
    </row>
    <row r="125" spans="1:5" x14ac:dyDescent="0.3">
      <c r="A125" t="s">
        <v>8</v>
      </c>
      <c r="B125" t="s">
        <v>10</v>
      </c>
      <c r="C125" t="s">
        <v>15</v>
      </c>
      <c r="D125">
        <v>150689</v>
      </c>
      <c r="E125">
        <v>41111</v>
      </c>
    </row>
    <row r="126" spans="1:5" x14ac:dyDescent="0.3">
      <c r="A126" t="s">
        <v>8</v>
      </c>
      <c r="B126" t="s">
        <v>10</v>
      </c>
      <c r="C126" t="s">
        <v>16</v>
      </c>
      <c r="D126">
        <v>87504</v>
      </c>
      <c r="E126">
        <v>31802</v>
      </c>
    </row>
    <row r="127" spans="1:5" x14ac:dyDescent="0.3">
      <c r="A127" t="s">
        <v>8</v>
      </c>
      <c r="B127" t="s">
        <v>10</v>
      </c>
      <c r="C127" t="s">
        <v>17</v>
      </c>
      <c r="D127">
        <v>58155</v>
      </c>
      <c r="E127">
        <v>103656</v>
      </c>
    </row>
    <row r="128" spans="1:5" x14ac:dyDescent="0.3">
      <c r="A128" t="s">
        <v>8</v>
      </c>
      <c r="B128" t="s">
        <v>10</v>
      </c>
      <c r="C128" t="s">
        <v>18</v>
      </c>
      <c r="D128">
        <v>89384</v>
      </c>
      <c r="E128">
        <v>142561</v>
      </c>
    </row>
    <row r="129" spans="1:5" x14ac:dyDescent="0.3">
      <c r="A129" t="s">
        <v>8</v>
      </c>
      <c r="B129" t="s">
        <v>10</v>
      </c>
      <c r="C129" t="s">
        <v>19</v>
      </c>
      <c r="D129">
        <v>97254</v>
      </c>
      <c r="E129">
        <v>51918</v>
      </c>
    </row>
    <row r="130" spans="1:5" x14ac:dyDescent="0.3">
      <c r="A130" t="s">
        <v>8</v>
      </c>
      <c r="B130" t="s">
        <v>10</v>
      </c>
      <c r="C130" t="s">
        <v>20</v>
      </c>
      <c r="D130">
        <v>135981</v>
      </c>
      <c r="E130">
        <v>90713</v>
      </c>
    </row>
    <row r="131" spans="1:5" x14ac:dyDescent="0.3">
      <c r="A131" t="s">
        <v>8</v>
      </c>
      <c r="B131" t="s">
        <v>10</v>
      </c>
      <c r="C131" t="s">
        <v>21</v>
      </c>
      <c r="D131">
        <v>80306</v>
      </c>
      <c r="E131">
        <v>46646</v>
      </c>
    </row>
    <row r="132" spans="1:5" x14ac:dyDescent="0.3">
      <c r="A132" t="s">
        <v>8</v>
      </c>
      <c r="B132" t="s">
        <v>10</v>
      </c>
      <c r="C132" t="s">
        <v>22</v>
      </c>
      <c r="D132">
        <v>96843</v>
      </c>
      <c r="E132">
        <v>126601</v>
      </c>
    </row>
    <row r="133" spans="1:5" x14ac:dyDescent="0.3">
      <c r="A133" t="s">
        <v>8</v>
      </c>
      <c r="B133" t="s">
        <v>10</v>
      </c>
      <c r="C133" t="s">
        <v>23</v>
      </c>
      <c r="D133">
        <v>157512</v>
      </c>
      <c r="E133">
        <v>46371</v>
      </c>
    </row>
    <row r="134" spans="1:5" x14ac:dyDescent="0.3">
      <c r="A134" t="s">
        <v>8</v>
      </c>
      <c r="B134" t="s">
        <v>11</v>
      </c>
      <c r="C134" t="s">
        <v>12</v>
      </c>
      <c r="D134">
        <v>161472</v>
      </c>
      <c r="E134">
        <v>32049</v>
      </c>
    </row>
    <row r="135" spans="1:5" x14ac:dyDescent="0.3">
      <c r="A135" t="s">
        <v>8</v>
      </c>
      <c r="B135" t="s">
        <v>11</v>
      </c>
      <c r="C135" t="s">
        <v>13</v>
      </c>
      <c r="D135">
        <v>153727</v>
      </c>
      <c r="E135">
        <v>142893</v>
      </c>
    </row>
    <row r="136" spans="1:5" x14ac:dyDescent="0.3">
      <c r="A136" t="s">
        <v>8</v>
      </c>
      <c r="B136" t="s">
        <v>11</v>
      </c>
      <c r="C136" t="s">
        <v>14</v>
      </c>
      <c r="D136">
        <v>70932</v>
      </c>
      <c r="E136">
        <v>147796</v>
      </c>
    </row>
    <row r="137" spans="1:5" x14ac:dyDescent="0.3">
      <c r="A137" t="s">
        <v>8</v>
      </c>
      <c r="B137" t="s">
        <v>11</v>
      </c>
      <c r="C137" t="s">
        <v>15</v>
      </c>
      <c r="D137">
        <v>79855</v>
      </c>
      <c r="E137">
        <v>91434</v>
      </c>
    </row>
    <row r="138" spans="1:5" x14ac:dyDescent="0.3">
      <c r="A138" t="s">
        <v>8</v>
      </c>
      <c r="B138" t="s">
        <v>11</v>
      </c>
      <c r="C138" t="s">
        <v>16</v>
      </c>
      <c r="D138">
        <v>57400</v>
      </c>
      <c r="E138">
        <v>147858</v>
      </c>
    </row>
    <row r="139" spans="1:5" x14ac:dyDescent="0.3">
      <c r="A139" t="s">
        <v>8</v>
      </c>
      <c r="B139" t="s">
        <v>11</v>
      </c>
      <c r="C139" t="s">
        <v>17</v>
      </c>
      <c r="D139">
        <v>65151</v>
      </c>
      <c r="E139">
        <v>81407</v>
      </c>
    </row>
    <row r="140" spans="1:5" x14ac:dyDescent="0.3">
      <c r="A140" t="s">
        <v>8</v>
      </c>
      <c r="B140" t="s">
        <v>11</v>
      </c>
      <c r="C140" t="s">
        <v>18</v>
      </c>
      <c r="D140">
        <v>116690</v>
      </c>
      <c r="E140">
        <v>34499</v>
      </c>
    </row>
    <row r="141" spans="1:5" x14ac:dyDescent="0.3">
      <c r="A141" t="s">
        <v>8</v>
      </c>
      <c r="B141" t="s">
        <v>11</v>
      </c>
      <c r="C141" t="s">
        <v>19</v>
      </c>
      <c r="D141">
        <v>56295</v>
      </c>
      <c r="E141">
        <v>89040</v>
      </c>
    </row>
    <row r="142" spans="1:5" x14ac:dyDescent="0.3">
      <c r="A142" t="s">
        <v>8</v>
      </c>
      <c r="B142" t="s">
        <v>11</v>
      </c>
      <c r="C142" t="s">
        <v>20</v>
      </c>
      <c r="D142">
        <v>62183</v>
      </c>
      <c r="E142">
        <v>59299</v>
      </c>
    </row>
    <row r="143" spans="1:5" x14ac:dyDescent="0.3">
      <c r="A143" t="s">
        <v>8</v>
      </c>
      <c r="B143" t="s">
        <v>11</v>
      </c>
      <c r="C143" t="s">
        <v>21</v>
      </c>
      <c r="D143">
        <v>193946</v>
      </c>
      <c r="E143">
        <v>146336</v>
      </c>
    </row>
    <row r="144" spans="1:5" x14ac:dyDescent="0.3">
      <c r="A144" t="s">
        <v>8</v>
      </c>
      <c r="B144" t="s">
        <v>11</v>
      </c>
      <c r="C144" t="s">
        <v>22</v>
      </c>
      <c r="D144">
        <v>82711</v>
      </c>
      <c r="E144">
        <v>35539</v>
      </c>
    </row>
    <row r="145" spans="1:5" x14ac:dyDescent="0.3">
      <c r="A145" t="s">
        <v>8</v>
      </c>
      <c r="B145" t="s">
        <v>11</v>
      </c>
      <c r="C145" t="s">
        <v>23</v>
      </c>
      <c r="D145">
        <v>176063</v>
      </c>
      <c r="E145">
        <v>32557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26DAA-9AF4-4FBF-BE89-0A331529610E}">
  <dimension ref="A3:B10"/>
  <sheetViews>
    <sheetView workbookViewId="0">
      <selection activeCell="B7" sqref="B7"/>
    </sheetView>
  </sheetViews>
  <sheetFormatPr defaultRowHeight="14.4" x14ac:dyDescent="0.3"/>
  <cols>
    <col min="1" max="1" width="12.33203125" bestFit="1" customWidth="1"/>
    <col min="2" max="2" width="14.33203125" bestFit="1" customWidth="1"/>
  </cols>
  <sheetData>
    <row r="3" spans="1:2" x14ac:dyDescent="0.3">
      <c r="A3" s="2" t="s">
        <v>24</v>
      </c>
      <c r="B3" t="s">
        <v>26</v>
      </c>
    </row>
    <row r="4" spans="1:2" x14ac:dyDescent="0.3">
      <c r="A4" s="13" t="s">
        <v>7</v>
      </c>
      <c r="B4">
        <v>4477554</v>
      </c>
    </row>
    <row r="5" spans="1:2" x14ac:dyDescent="0.3">
      <c r="A5" s="13" t="s">
        <v>5</v>
      </c>
      <c r="B5">
        <v>4184904</v>
      </c>
    </row>
    <row r="6" spans="1:2" x14ac:dyDescent="0.3">
      <c r="A6" s="13" t="s">
        <v>6</v>
      </c>
      <c r="B6">
        <v>4832084</v>
      </c>
    </row>
    <row r="7" spans="1:2" x14ac:dyDescent="0.3">
      <c r="A7" s="13" t="s">
        <v>8</v>
      </c>
      <c r="B7">
        <v>4461600</v>
      </c>
    </row>
    <row r="8" spans="1:2" x14ac:dyDescent="0.3">
      <c r="A8" s="3" t="s">
        <v>25</v>
      </c>
      <c r="B8">
        <v>17956142</v>
      </c>
    </row>
    <row r="10" spans="1:2" x14ac:dyDescent="0.3">
      <c r="B10">
        <f>GETPIVOTDATA("Revenue",$A$3)</f>
        <v>17956142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BDE5A-8CAA-455F-9F13-9E371CCEE251}">
  <dimension ref="A3:B12"/>
  <sheetViews>
    <sheetView zoomScale="72" workbookViewId="0"/>
  </sheetViews>
  <sheetFormatPr defaultRowHeight="14.4" x14ac:dyDescent="0.3"/>
  <cols>
    <col min="1" max="1" width="11.77734375" bestFit="1" customWidth="1"/>
    <col min="2" max="2" width="12.33203125" bestFit="1" customWidth="1"/>
  </cols>
  <sheetData>
    <row r="3" spans="1:2" x14ac:dyDescent="0.3">
      <c r="A3" s="2" t="s">
        <v>31</v>
      </c>
      <c r="B3" t="s">
        <v>27</v>
      </c>
    </row>
    <row r="4" spans="1:2" x14ac:dyDescent="0.3">
      <c r="A4" s="3" t="s">
        <v>9</v>
      </c>
      <c r="B4">
        <v>2101210</v>
      </c>
    </row>
    <row r="5" spans="1:2" x14ac:dyDescent="0.3">
      <c r="A5" s="3" t="s">
        <v>10</v>
      </c>
      <c r="B5">
        <v>1733249</v>
      </c>
    </row>
    <row r="6" spans="1:2" x14ac:dyDescent="0.3">
      <c r="A6" s="3" t="s">
        <v>11</v>
      </c>
      <c r="B6">
        <v>1120603</v>
      </c>
    </row>
    <row r="7" spans="1:2" x14ac:dyDescent="0.3">
      <c r="A7" s="3" t="s">
        <v>25</v>
      </c>
      <c r="B7">
        <v>4955062</v>
      </c>
    </row>
    <row r="9" spans="1:2" x14ac:dyDescent="0.3">
      <c r="B9">
        <f>GETPIVOTDATA("Profit",$A$3)</f>
        <v>4955062</v>
      </c>
    </row>
    <row r="12" spans="1:2" x14ac:dyDescent="0.3">
      <c r="B12">
        <f>GETPIVOTDATA("Profit",$A$3)</f>
        <v>4955062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5B031-D30F-46EF-8E99-C79E43FE870B}">
  <dimension ref="A3:B18"/>
  <sheetViews>
    <sheetView topLeftCell="A11" zoomScale="86" workbookViewId="0">
      <selection activeCell="B14" sqref="B14"/>
    </sheetView>
  </sheetViews>
  <sheetFormatPr defaultRowHeight="14.4" x14ac:dyDescent="0.3"/>
  <cols>
    <col min="1" max="1" width="13" bestFit="1" customWidth="1"/>
    <col min="2" max="2" width="14" bestFit="1" customWidth="1"/>
    <col min="3" max="3" width="14.44140625" bestFit="1" customWidth="1"/>
  </cols>
  <sheetData>
    <row r="3" spans="1:2" x14ac:dyDescent="0.3">
      <c r="A3" s="2" t="s">
        <v>24</v>
      </c>
      <c r="B3" t="s">
        <v>30</v>
      </c>
    </row>
    <row r="4" spans="1:2" x14ac:dyDescent="0.3">
      <c r="A4" s="13" t="s">
        <v>12</v>
      </c>
      <c r="B4" s="4">
        <v>704602</v>
      </c>
    </row>
    <row r="5" spans="1:2" x14ac:dyDescent="0.3">
      <c r="A5" s="13" t="s">
        <v>13</v>
      </c>
      <c r="B5" s="4">
        <v>459013</v>
      </c>
    </row>
    <row r="6" spans="1:2" x14ac:dyDescent="0.3">
      <c r="A6" s="13" t="s">
        <v>14</v>
      </c>
      <c r="B6" s="4">
        <v>477769</v>
      </c>
    </row>
    <row r="7" spans="1:2" x14ac:dyDescent="0.3">
      <c r="A7" s="13" t="s">
        <v>15</v>
      </c>
      <c r="B7" s="4">
        <v>730547</v>
      </c>
    </row>
    <row r="8" spans="1:2" x14ac:dyDescent="0.3">
      <c r="A8" s="13" t="s">
        <v>16</v>
      </c>
      <c r="B8" s="4">
        <v>70871</v>
      </c>
    </row>
    <row r="9" spans="1:2" x14ac:dyDescent="0.3">
      <c r="A9" s="13" t="s">
        <v>17</v>
      </c>
      <c r="B9" s="4">
        <v>544024</v>
      </c>
    </row>
    <row r="10" spans="1:2" x14ac:dyDescent="0.3">
      <c r="A10" s="13" t="s">
        <v>18</v>
      </c>
      <c r="B10" s="4">
        <v>247542</v>
      </c>
    </row>
    <row r="11" spans="1:2" x14ac:dyDescent="0.3">
      <c r="A11" s="13" t="s">
        <v>19</v>
      </c>
      <c r="B11" s="4">
        <v>156667</v>
      </c>
    </row>
    <row r="12" spans="1:2" x14ac:dyDescent="0.3">
      <c r="A12" s="13" t="s">
        <v>20</v>
      </c>
      <c r="B12" s="4">
        <v>110678</v>
      </c>
    </row>
    <row r="13" spans="1:2" x14ac:dyDescent="0.3">
      <c r="A13" s="13" t="s">
        <v>21</v>
      </c>
      <c r="B13" s="4">
        <v>442431</v>
      </c>
    </row>
    <row r="14" spans="1:2" x14ac:dyDescent="0.3">
      <c r="A14" s="13" t="s">
        <v>22</v>
      </c>
      <c r="B14" s="4">
        <v>430221</v>
      </c>
    </row>
    <row r="15" spans="1:2" x14ac:dyDescent="0.3">
      <c r="A15" s="13" t="s">
        <v>23</v>
      </c>
      <c r="B15" s="4">
        <v>580697</v>
      </c>
    </row>
    <row r="16" spans="1:2" x14ac:dyDescent="0.3">
      <c r="A16" s="3" t="s">
        <v>25</v>
      </c>
      <c r="B16" s="4">
        <v>4955062</v>
      </c>
    </row>
    <row r="18" spans="2:2" x14ac:dyDescent="0.3">
      <c r="B18">
        <f>GETPIVOTDATA("Amount",$A$3)</f>
        <v>4955062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88BC1-8842-415A-8B50-E413CD34E804}">
  <dimension ref="A1:T41"/>
  <sheetViews>
    <sheetView showGridLines="0" tabSelected="1" zoomScale="49" zoomScaleNormal="48" workbookViewId="0">
      <selection activeCell="W21" sqref="W21"/>
    </sheetView>
  </sheetViews>
  <sheetFormatPr defaultRowHeight="14.4" x14ac:dyDescent="0.3"/>
  <cols>
    <col min="5" max="5" width="8.77734375" customWidth="1"/>
    <col min="6" max="6" width="11.44140625" customWidth="1"/>
    <col min="7" max="7" width="10.5546875" customWidth="1"/>
    <col min="8" max="8" width="13.109375" customWidth="1"/>
    <col min="9" max="9" width="10.6640625" customWidth="1"/>
    <col min="10" max="10" width="17.77734375" customWidth="1"/>
    <col min="13" max="13" width="10.33203125" bestFit="1" customWidth="1"/>
    <col min="14" max="14" width="11.44140625" customWidth="1"/>
  </cols>
  <sheetData>
    <row r="1" spans="1:20" x14ac:dyDescent="0.3">
      <c r="A1" s="6"/>
      <c r="B1" s="6"/>
      <c r="C1" s="6"/>
      <c r="D1" s="6"/>
      <c r="E1" s="6"/>
      <c r="F1" s="7"/>
      <c r="G1" s="7"/>
      <c r="H1" s="7"/>
      <c r="I1" s="7"/>
      <c r="J1" s="7"/>
      <c r="K1" s="7"/>
      <c r="L1" s="7"/>
      <c r="M1" s="7"/>
      <c r="N1" s="7"/>
      <c r="O1" s="7"/>
      <c r="P1" s="7"/>
      <c r="Q1" s="7"/>
      <c r="R1" s="7"/>
      <c r="S1" s="7"/>
    </row>
    <row r="2" spans="1:20" x14ac:dyDescent="0.3">
      <c r="A2" s="6"/>
      <c r="B2" s="6"/>
      <c r="C2" s="6"/>
      <c r="D2" s="11"/>
      <c r="E2" s="6"/>
      <c r="F2" s="10"/>
      <c r="G2" s="7"/>
      <c r="H2" s="7"/>
      <c r="I2" s="7"/>
      <c r="J2" s="7"/>
      <c r="K2" s="7"/>
      <c r="L2" s="7"/>
      <c r="M2" s="7"/>
      <c r="N2" s="7"/>
      <c r="O2" s="7"/>
      <c r="P2" s="7"/>
      <c r="Q2" s="7"/>
      <c r="R2" s="7"/>
      <c r="S2" s="7"/>
    </row>
    <row r="3" spans="1:20" x14ac:dyDescent="0.3">
      <c r="A3" s="6"/>
      <c r="B3" s="6"/>
      <c r="C3" s="6"/>
      <c r="D3" s="12"/>
      <c r="E3" s="6"/>
      <c r="F3" s="9"/>
      <c r="G3" s="7"/>
      <c r="H3" s="7"/>
      <c r="I3" s="7"/>
      <c r="J3" s="7"/>
      <c r="K3" s="7"/>
      <c r="L3" s="7"/>
      <c r="M3" s="7"/>
      <c r="N3" s="7"/>
      <c r="O3" s="7"/>
      <c r="P3" s="7"/>
      <c r="Q3" s="7"/>
      <c r="R3" s="7"/>
      <c r="S3" s="7"/>
    </row>
    <row r="4" spans="1:20" x14ac:dyDescent="0.3">
      <c r="A4" s="6"/>
      <c r="B4" s="6"/>
      <c r="C4" s="6"/>
      <c r="D4" s="6"/>
      <c r="E4" s="6"/>
      <c r="F4" s="7"/>
      <c r="G4" s="7"/>
      <c r="H4" s="7"/>
      <c r="I4" s="7"/>
      <c r="J4" s="7"/>
      <c r="K4" s="7"/>
      <c r="L4" s="7"/>
      <c r="M4" s="7"/>
      <c r="N4" s="7"/>
      <c r="O4" s="7"/>
      <c r="P4" s="7"/>
      <c r="Q4" s="7"/>
      <c r="R4" s="7"/>
      <c r="S4" s="7"/>
      <c r="T4" s="5"/>
    </row>
    <row r="5" spans="1:20" x14ac:dyDescent="0.3">
      <c r="A5" s="6"/>
      <c r="B5" s="6"/>
      <c r="C5" s="6"/>
      <c r="D5" s="14"/>
      <c r="E5" s="6"/>
      <c r="F5" s="7"/>
      <c r="G5" s="7"/>
      <c r="H5" s="7"/>
      <c r="I5" s="7"/>
      <c r="J5" s="7"/>
      <c r="K5" s="7"/>
      <c r="L5" s="7"/>
      <c r="M5" s="7"/>
      <c r="N5" s="7"/>
      <c r="O5" s="7"/>
      <c r="P5" s="7"/>
      <c r="Q5" s="7"/>
      <c r="R5" s="7"/>
      <c r="S5" s="7"/>
    </row>
    <row r="6" spans="1:20" x14ac:dyDescent="0.3">
      <c r="A6" s="6"/>
      <c r="B6" s="6"/>
      <c r="C6" s="6"/>
      <c r="D6" s="15"/>
      <c r="E6" s="6"/>
      <c r="F6" s="7"/>
      <c r="G6" s="7"/>
      <c r="H6" s="7"/>
      <c r="I6" s="7"/>
      <c r="J6" s="7"/>
      <c r="K6" s="7"/>
      <c r="L6" s="7"/>
      <c r="M6" s="7"/>
      <c r="N6" s="7"/>
      <c r="O6" s="7"/>
      <c r="P6" s="7"/>
      <c r="Q6" s="7"/>
      <c r="R6" s="7"/>
      <c r="S6" s="7"/>
    </row>
    <row r="7" spans="1:20" x14ac:dyDescent="0.3">
      <c r="A7" s="6"/>
      <c r="B7" s="6"/>
      <c r="C7" s="6"/>
      <c r="D7" s="6"/>
      <c r="E7" s="14"/>
      <c r="F7" s="8"/>
      <c r="G7" s="9"/>
      <c r="H7" s="7"/>
      <c r="I7" s="7"/>
      <c r="J7" s="16" t="s">
        <v>28</v>
      </c>
      <c r="K7" s="7"/>
      <c r="L7" s="7"/>
      <c r="M7" s="7"/>
      <c r="N7" s="17" t="s">
        <v>29</v>
      </c>
      <c r="O7" s="7"/>
      <c r="P7" s="7"/>
      <c r="Q7" s="7"/>
      <c r="R7" s="7"/>
      <c r="S7" s="7"/>
    </row>
    <row r="8" spans="1:20" x14ac:dyDescent="0.3">
      <c r="A8" s="6"/>
      <c r="B8" s="6"/>
      <c r="C8" s="6"/>
      <c r="D8" s="6"/>
      <c r="E8" s="15"/>
      <c r="F8" s="7"/>
      <c r="G8" s="9"/>
      <c r="H8" s="7"/>
      <c r="I8" s="7"/>
      <c r="J8" s="16">
        <f>Analysis2!B9</f>
        <v>4955062</v>
      </c>
      <c r="K8" s="7"/>
      <c r="L8" s="7"/>
      <c r="M8" s="7"/>
      <c r="N8" s="16">
        <f>Analysis1!B10</f>
        <v>17956142</v>
      </c>
      <c r="O8" s="7"/>
      <c r="P8" s="7"/>
      <c r="Q8" s="7"/>
      <c r="R8" s="7"/>
      <c r="S8" s="7"/>
    </row>
    <row r="9" spans="1:20" x14ac:dyDescent="0.3">
      <c r="A9" s="6"/>
      <c r="B9" s="6"/>
      <c r="C9" s="6"/>
      <c r="D9" s="6"/>
      <c r="E9" s="6"/>
      <c r="F9" s="7"/>
      <c r="G9" s="7"/>
      <c r="H9" s="7"/>
      <c r="I9" s="7"/>
      <c r="J9" s="7"/>
      <c r="K9" s="7"/>
      <c r="L9" s="7"/>
      <c r="M9" s="7"/>
      <c r="N9" s="7"/>
      <c r="O9" s="7"/>
      <c r="P9" s="7"/>
      <c r="Q9" s="7"/>
      <c r="R9" s="7"/>
      <c r="S9" s="7"/>
    </row>
    <row r="10" spans="1:20" x14ac:dyDescent="0.3">
      <c r="A10" s="6"/>
      <c r="B10" s="6"/>
      <c r="C10" s="6"/>
      <c r="D10" s="6"/>
      <c r="E10" s="14"/>
      <c r="F10" s="7"/>
      <c r="G10" s="7"/>
      <c r="H10" s="7"/>
      <c r="I10" s="7"/>
      <c r="J10" s="7"/>
      <c r="K10" s="7"/>
      <c r="L10" s="7"/>
      <c r="M10" s="7"/>
      <c r="N10" s="7"/>
      <c r="O10" s="7"/>
      <c r="P10" s="7"/>
      <c r="Q10" s="7"/>
      <c r="R10" s="7"/>
      <c r="S10" s="7"/>
    </row>
    <row r="11" spans="1:20" x14ac:dyDescent="0.3">
      <c r="A11" s="6"/>
      <c r="B11" s="6"/>
      <c r="C11" s="6"/>
      <c r="D11" s="6"/>
      <c r="E11" s="15"/>
      <c r="F11" s="7"/>
      <c r="G11" s="7"/>
      <c r="H11" s="7"/>
      <c r="I11" s="7"/>
      <c r="J11" s="7"/>
      <c r="K11" s="7"/>
      <c r="L11" s="7"/>
      <c r="M11" s="7"/>
      <c r="N11" s="7"/>
      <c r="O11" s="7"/>
      <c r="P11" s="7"/>
      <c r="Q11" s="7"/>
      <c r="R11" s="7"/>
      <c r="S11" s="7"/>
    </row>
    <row r="12" spans="1:20" x14ac:dyDescent="0.3">
      <c r="A12" s="6"/>
      <c r="B12" s="6"/>
      <c r="C12" s="6"/>
      <c r="D12" s="6"/>
      <c r="E12" s="6"/>
      <c r="F12" s="7"/>
      <c r="G12" s="7"/>
      <c r="H12" s="7"/>
      <c r="I12" s="7"/>
      <c r="J12" s="7"/>
      <c r="K12" s="7"/>
      <c r="L12" s="7"/>
      <c r="M12" s="7"/>
      <c r="N12" s="7"/>
      <c r="O12" s="7"/>
      <c r="P12" s="7"/>
      <c r="Q12" s="7"/>
      <c r="R12" s="7"/>
      <c r="S12" s="7"/>
    </row>
    <row r="13" spans="1:20" x14ac:dyDescent="0.3">
      <c r="A13" s="6"/>
      <c r="B13" s="6"/>
      <c r="C13" s="6"/>
      <c r="D13" s="6"/>
      <c r="E13" s="6"/>
      <c r="F13" s="7"/>
      <c r="G13" s="7"/>
      <c r="H13" s="7"/>
      <c r="I13" s="7"/>
      <c r="J13" s="7"/>
      <c r="K13" s="7"/>
      <c r="L13" s="7"/>
      <c r="M13" s="7"/>
      <c r="N13" s="7"/>
      <c r="O13" s="7"/>
      <c r="P13" s="7"/>
      <c r="Q13" s="7"/>
      <c r="R13" s="7"/>
      <c r="S13" s="7"/>
    </row>
    <row r="14" spans="1:20" x14ac:dyDescent="0.3">
      <c r="A14" s="6"/>
      <c r="B14" s="6"/>
      <c r="C14" s="6"/>
      <c r="D14" s="6"/>
      <c r="E14" s="6"/>
      <c r="F14" s="7"/>
      <c r="G14" s="7"/>
      <c r="H14" s="7"/>
      <c r="I14" s="7"/>
      <c r="J14" s="7"/>
      <c r="K14" s="7"/>
      <c r="L14" s="7"/>
      <c r="M14" s="7"/>
      <c r="N14" s="7"/>
      <c r="O14" s="7"/>
      <c r="P14" s="7"/>
      <c r="Q14" s="7"/>
      <c r="R14" s="7"/>
      <c r="S14" s="7"/>
    </row>
    <row r="15" spans="1:20" x14ac:dyDescent="0.3">
      <c r="A15" s="6"/>
      <c r="B15" s="6"/>
      <c r="C15" s="6"/>
      <c r="D15" s="6"/>
      <c r="E15" s="6"/>
      <c r="F15" s="7"/>
      <c r="G15" s="7"/>
      <c r="H15" s="7"/>
      <c r="I15" s="7"/>
      <c r="J15" s="7"/>
      <c r="K15" s="7"/>
      <c r="L15" s="7"/>
      <c r="M15" s="7"/>
      <c r="N15" s="7"/>
      <c r="O15" s="7"/>
      <c r="P15" s="7"/>
      <c r="Q15" s="7"/>
      <c r="R15" s="7"/>
      <c r="S15" s="7"/>
    </row>
    <row r="16" spans="1:20" x14ac:dyDescent="0.3">
      <c r="A16" s="6"/>
      <c r="B16" s="6"/>
      <c r="C16" s="6"/>
      <c r="D16" s="6"/>
      <c r="E16" s="6"/>
      <c r="F16" s="7"/>
      <c r="G16" s="7"/>
      <c r="H16" s="7"/>
      <c r="I16" s="7"/>
      <c r="J16" s="7"/>
      <c r="K16" s="7"/>
      <c r="L16" s="7"/>
      <c r="M16" s="7"/>
      <c r="N16" s="7"/>
      <c r="O16" s="7"/>
      <c r="P16" s="7"/>
      <c r="Q16" s="7"/>
      <c r="R16" s="7"/>
      <c r="S16" s="7"/>
    </row>
    <row r="17" spans="1:19" x14ac:dyDescent="0.3">
      <c r="A17" s="6"/>
      <c r="B17" s="6"/>
      <c r="C17" s="6"/>
      <c r="D17" s="6"/>
      <c r="E17" s="6"/>
      <c r="F17" s="7"/>
      <c r="G17" s="7"/>
      <c r="H17" s="7"/>
      <c r="I17" s="7"/>
      <c r="J17" s="7"/>
      <c r="K17" s="7"/>
      <c r="L17" s="7"/>
      <c r="M17" s="7"/>
      <c r="N17" s="7"/>
      <c r="O17" s="7"/>
      <c r="P17" s="7"/>
      <c r="Q17" s="7"/>
      <c r="R17" s="7"/>
      <c r="S17" s="7"/>
    </row>
    <row r="18" spans="1:19" x14ac:dyDescent="0.3">
      <c r="A18" s="6"/>
      <c r="B18" s="6"/>
      <c r="C18" s="6"/>
      <c r="D18" s="6"/>
      <c r="E18" s="6"/>
      <c r="F18" s="7"/>
      <c r="G18" s="7"/>
      <c r="H18" s="7"/>
      <c r="I18" s="7"/>
      <c r="J18" s="7"/>
      <c r="K18" s="7"/>
      <c r="L18" s="7"/>
      <c r="M18" s="7"/>
      <c r="N18" s="7"/>
      <c r="O18" s="7"/>
      <c r="P18" s="7"/>
      <c r="Q18" s="7"/>
      <c r="R18" s="7"/>
      <c r="S18" s="7"/>
    </row>
    <row r="19" spans="1:19" x14ac:dyDescent="0.3">
      <c r="A19" s="6"/>
      <c r="B19" s="6"/>
      <c r="C19" s="6"/>
      <c r="D19" s="6"/>
      <c r="E19" s="6"/>
      <c r="F19" s="7"/>
      <c r="G19" s="7"/>
      <c r="H19" s="7"/>
      <c r="I19" s="7"/>
      <c r="J19" s="7"/>
      <c r="K19" s="7"/>
      <c r="L19" s="7"/>
      <c r="M19" s="7"/>
      <c r="N19" s="7"/>
      <c r="O19" s="7"/>
      <c r="P19" s="7"/>
      <c r="Q19" s="7"/>
      <c r="R19" s="7"/>
      <c r="S19" s="7"/>
    </row>
    <row r="20" spans="1:19" x14ac:dyDescent="0.3">
      <c r="A20" s="6"/>
      <c r="B20" s="6"/>
      <c r="C20" s="6"/>
      <c r="D20" s="6"/>
      <c r="E20" s="6"/>
      <c r="F20" s="7"/>
      <c r="G20" s="7"/>
      <c r="H20" s="7"/>
      <c r="I20" s="7"/>
      <c r="J20" s="7"/>
      <c r="K20" s="7"/>
      <c r="L20" s="7"/>
      <c r="M20" s="7"/>
      <c r="N20" s="7"/>
      <c r="O20" s="7"/>
      <c r="P20" s="7"/>
      <c r="Q20" s="7"/>
      <c r="R20" s="7"/>
      <c r="S20" s="7"/>
    </row>
    <row r="21" spans="1:19" x14ac:dyDescent="0.3">
      <c r="A21" s="6"/>
      <c r="B21" s="6"/>
      <c r="C21" s="6"/>
      <c r="D21" s="6"/>
      <c r="E21" s="6"/>
      <c r="F21" s="7"/>
      <c r="G21" s="7"/>
      <c r="H21" s="7"/>
      <c r="I21" s="7"/>
      <c r="J21" s="7"/>
      <c r="K21" s="7"/>
      <c r="L21" s="7"/>
      <c r="M21" s="7"/>
      <c r="N21" s="7"/>
      <c r="O21" s="7"/>
      <c r="P21" s="7"/>
      <c r="Q21" s="7"/>
      <c r="R21" s="7"/>
      <c r="S21" s="7"/>
    </row>
    <row r="22" spans="1:19" x14ac:dyDescent="0.3">
      <c r="A22" s="6"/>
      <c r="B22" s="6"/>
      <c r="C22" s="6"/>
      <c r="D22" s="6"/>
      <c r="E22" s="6"/>
      <c r="F22" s="7"/>
      <c r="G22" s="7"/>
      <c r="H22" s="7"/>
      <c r="I22" s="7"/>
      <c r="J22" s="7"/>
      <c r="K22" s="7"/>
      <c r="L22" s="7"/>
      <c r="M22" s="7"/>
      <c r="N22" s="7"/>
      <c r="O22" s="7"/>
      <c r="P22" s="7"/>
      <c r="Q22" s="7"/>
      <c r="R22" s="7"/>
      <c r="S22" s="7"/>
    </row>
    <row r="23" spans="1:19" x14ac:dyDescent="0.3">
      <c r="A23" s="6"/>
      <c r="B23" s="6"/>
      <c r="C23" s="6"/>
      <c r="D23" s="6"/>
      <c r="E23" s="6"/>
      <c r="F23" s="7"/>
      <c r="G23" s="7"/>
      <c r="H23" s="7"/>
      <c r="I23" s="7"/>
      <c r="J23" s="7"/>
      <c r="K23" s="7"/>
      <c r="L23" s="7"/>
      <c r="M23" s="7"/>
      <c r="N23" s="7"/>
      <c r="O23" s="7"/>
      <c r="P23" s="7"/>
      <c r="Q23" s="7"/>
      <c r="R23" s="7"/>
      <c r="S23" s="7"/>
    </row>
    <row r="24" spans="1:19" x14ac:dyDescent="0.3">
      <c r="A24" s="6"/>
      <c r="B24" s="6"/>
      <c r="C24" s="6"/>
      <c r="D24" s="6"/>
      <c r="E24" s="6"/>
      <c r="F24" s="7"/>
      <c r="G24" s="7"/>
      <c r="H24" s="7"/>
      <c r="I24" s="7"/>
      <c r="J24" s="7"/>
      <c r="K24" s="7"/>
      <c r="L24" s="7"/>
      <c r="M24" s="7"/>
      <c r="N24" s="7"/>
      <c r="O24" s="7"/>
      <c r="P24" s="7"/>
      <c r="Q24" s="7"/>
      <c r="R24" s="7"/>
      <c r="S24" s="7"/>
    </row>
    <row r="25" spans="1:19" x14ac:dyDescent="0.3">
      <c r="A25" s="6"/>
      <c r="B25" s="6"/>
      <c r="C25" s="6"/>
      <c r="D25" s="6"/>
      <c r="E25" s="6"/>
      <c r="F25" s="7"/>
      <c r="G25" s="7"/>
      <c r="H25" s="7"/>
      <c r="I25" s="7"/>
      <c r="J25" s="7"/>
      <c r="K25" s="7"/>
      <c r="L25" s="7"/>
      <c r="M25" s="7"/>
      <c r="N25" s="7"/>
      <c r="O25" s="7"/>
      <c r="P25" s="7"/>
      <c r="Q25" s="7"/>
      <c r="R25" s="7"/>
      <c r="S25" s="7"/>
    </row>
    <row r="26" spans="1:19" x14ac:dyDescent="0.3">
      <c r="A26" s="6"/>
      <c r="B26" s="6"/>
      <c r="C26" s="6"/>
      <c r="D26" s="6"/>
      <c r="E26" s="6"/>
      <c r="F26" s="7"/>
      <c r="G26" s="7"/>
      <c r="H26" s="7"/>
      <c r="I26" s="7"/>
      <c r="J26" s="7"/>
      <c r="K26" s="7"/>
      <c r="L26" s="7"/>
      <c r="M26" s="7"/>
      <c r="N26" s="7"/>
      <c r="O26" s="7"/>
      <c r="P26" s="7"/>
      <c r="Q26" s="7"/>
      <c r="R26" s="7"/>
      <c r="S26" s="7"/>
    </row>
    <row r="27" spans="1:19" x14ac:dyDescent="0.3">
      <c r="A27" s="6"/>
      <c r="B27" s="6"/>
      <c r="C27" s="6"/>
      <c r="D27" s="6"/>
      <c r="E27" s="6"/>
      <c r="F27" s="7"/>
      <c r="G27" s="7"/>
      <c r="H27" s="7"/>
      <c r="I27" s="7"/>
      <c r="J27" s="7"/>
      <c r="K27" s="7"/>
      <c r="L27" s="7"/>
      <c r="M27" s="7"/>
      <c r="N27" s="7"/>
      <c r="O27" s="7"/>
      <c r="P27" s="7"/>
      <c r="Q27" s="7"/>
      <c r="R27" s="7"/>
      <c r="S27" s="7"/>
    </row>
    <row r="28" spans="1:19" x14ac:dyDescent="0.3">
      <c r="A28" s="6"/>
      <c r="B28" s="6"/>
      <c r="C28" s="6"/>
      <c r="D28" s="6"/>
      <c r="E28" s="6"/>
      <c r="F28" s="7"/>
      <c r="G28" s="7"/>
      <c r="H28" s="7"/>
      <c r="I28" s="7"/>
      <c r="J28" s="7"/>
      <c r="K28" s="7"/>
      <c r="L28" s="7"/>
      <c r="M28" s="7"/>
      <c r="N28" s="7"/>
      <c r="O28" s="7"/>
      <c r="P28" s="7"/>
      <c r="Q28" s="7"/>
      <c r="R28" s="7"/>
      <c r="S28" s="7"/>
    </row>
    <row r="29" spans="1:19" x14ac:dyDescent="0.3">
      <c r="A29" s="6"/>
      <c r="B29" s="6"/>
      <c r="C29" s="6"/>
      <c r="D29" s="6"/>
      <c r="E29" s="6"/>
      <c r="F29" s="7"/>
      <c r="G29" s="7"/>
      <c r="H29" s="7"/>
      <c r="I29" s="7"/>
      <c r="J29" s="7"/>
      <c r="K29" s="7"/>
      <c r="L29" s="7"/>
      <c r="M29" s="7"/>
      <c r="N29" s="7"/>
      <c r="O29" s="7"/>
      <c r="P29" s="7"/>
      <c r="Q29" s="7"/>
      <c r="R29" s="7"/>
      <c r="S29" s="7"/>
    </row>
    <row r="30" spans="1:19" x14ac:dyDescent="0.3">
      <c r="A30" s="6"/>
      <c r="B30" s="6"/>
      <c r="C30" s="6"/>
      <c r="D30" s="6"/>
      <c r="E30" s="6"/>
      <c r="F30" s="7"/>
      <c r="G30" s="7"/>
      <c r="H30" s="7"/>
      <c r="I30" s="7"/>
      <c r="J30" s="7"/>
      <c r="K30" s="7"/>
      <c r="L30" s="7"/>
      <c r="M30" s="7"/>
      <c r="N30" s="7"/>
      <c r="O30" s="7"/>
      <c r="P30" s="7"/>
      <c r="Q30" s="7"/>
      <c r="R30" s="7"/>
      <c r="S30" s="7"/>
    </row>
    <row r="31" spans="1:19" x14ac:dyDescent="0.3">
      <c r="A31" s="6"/>
      <c r="B31" s="6"/>
      <c r="C31" s="6"/>
      <c r="D31" s="6"/>
      <c r="E31" s="6"/>
      <c r="F31" s="7"/>
      <c r="G31" s="7"/>
      <c r="H31" s="7"/>
      <c r="I31" s="7"/>
      <c r="J31" s="7"/>
      <c r="K31" s="7"/>
      <c r="L31" s="7"/>
      <c r="M31" s="7"/>
      <c r="N31" s="7"/>
      <c r="O31" s="7"/>
      <c r="P31" s="7"/>
      <c r="Q31" s="7"/>
      <c r="R31" s="7"/>
      <c r="S31" s="7"/>
    </row>
    <row r="32" spans="1:19" x14ac:dyDescent="0.3">
      <c r="A32" s="6"/>
      <c r="B32" s="6"/>
      <c r="C32" s="6"/>
      <c r="D32" s="6"/>
      <c r="E32" s="6"/>
      <c r="F32" s="7"/>
      <c r="G32" s="7"/>
      <c r="H32" s="7"/>
      <c r="I32" s="7"/>
      <c r="J32" s="7"/>
      <c r="K32" s="7"/>
      <c r="L32" s="7"/>
      <c r="M32" s="7"/>
      <c r="N32" s="7"/>
      <c r="O32" s="7"/>
      <c r="P32" s="7"/>
      <c r="Q32" s="7"/>
      <c r="R32" s="7"/>
      <c r="S32" s="7"/>
    </row>
    <row r="33" spans="1:19" x14ac:dyDescent="0.3">
      <c r="A33" s="6"/>
      <c r="B33" s="6"/>
      <c r="C33" s="6"/>
      <c r="D33" s="6"/>
      <c r="E33" s="6"/>
      <c r="F33" s="7"/>
      <c r="G33" s="7"/>
      <c r="H33" s="7"/>
      <c r="I33" s="7"/>
      <c r="J33" s="7"/>
      <c r="K33" s="7"/>
      <c r="L33" s="7"/>
      <c r="M33" s="7"/>
      <c r="N33" s="7"/>
      <c r="O33" s="7"/>
      <c r="P33" s="7"/>
      <c r="Q33" s="7"/>
      <c r="R33" s="7"/>
      <c r="S33" s="7"/>
    </row>
    <row r="34" spans="1:19" x14ac:dyDescent="0.3">
      <c r="A34" s="6"/>
      <c r="B34" s="6"/>
      <c r="C34" s="6"/>
      <c r="D34" s="6"/>
      <c r="E34" s="6"/>
      <c r="F34" s="7"/>
      <c r="G34" s="7"/>
      <c r="H34" s="7"/>
      <c r="I34" s="7"/>
      <c r="J34" s="7"/>
      <c r="K34" s="7"/>
      <c r="L34" s="7"/>
      <c r="M34" s="7"/>
      <c r="N34" s="7"/>
      <c r="O34" s="7"/>
      <c r="P34" s="7"/>
      <c r="Q34" s="7"/>
      <c r="R34" s="7"/>
      <c r="S34" s="7"/>
    </row>
    <row r="35" spans="1:19" x14ac:dyDescent="0.3">
      <c r="A35" s="6"/>
      <c r="B35" s="6"/>
      <c r="C35" s="6"/>
      <c r="D35" s="6"/>
      <c r="E35" s="6"/>
      <c r="F35" s="7"/>
      <c r="G35" s="7"/>
      <c r="H35" s="7"/>
      <c r="I35" s="7"/>
      <c r="J35" s="7"/>
      <c r="K35" s="7"/>
      <c r="L35" s="7"/>
      <c r="M35" s="7"/>
      <c r="N35" s="7"/>
      <c r="O35" s="7"/>
      <c r="P35" s="7"/>
      <c r="Q35" s="7"/>
      <c r="R35" s="7"/>
      <c r="S35" s="7"/>
    </row>
    <row r="36" spans="1:19" x14ac:dyDescent="0.3">
      <c r="A36" s="6"/>
      <c r="B36" s="6"/>
      <c r="C36" s="6"/>
      <c r="D36" s="6"/>
      <c r="E36" s="6"/>
      <c r="F36" s="7"/>
      <c r="G36" s="7"/>
      <c r="H36" s="7"/>
      <c r="I36" s="7"/>
      <c r="J36" s="7"/>
      <c r="K36" s="7"/>
      <c r="L36" s="7"/>
      <c r="M36" s="7"/>
      <c r="N36" s="7"/>
      <c r="O36" s="7"/>
      <c r="P36" s="7"/>
      <c r="Q36" s="7"/>
      <c r="R36" s="7"/>
      <c r="S36" s="7"/>
    </row>
    <row r="37" spans="1:19" x14ac:dyDescent="0.3">
      <c r="A37" s="6"/>
      <c r="B37" s="6"/>
      <c r="C37" s="6"/>
      <c r="D37" s="6"/>
      <c r="E37" s="6"/>
      <c r="F37" s="7"/>
      <c r="G37" s="7"/>
      <c r="H37" s="7"/>
      <c r="I37" s="7"/>
      <c r="J37" s="7"/>
      <c r="K37" s="7"/>
      <c r="L37" s="7"/>
      <c r="M37" s="7"/>
      <c r="N37" s="7"/>
      <c r="O37" s="7"/>
      <c r="P37" s="7"/>
      <c r="Q37" s="7"/>
      <c r="R37" s="7"/>
      <c r="S37" s="7"/>
    </row>
    <row r="38" spans="1:19" x14ac:dyDescent="0.3">
      <c r="A38" s="6"/>
      <c r="B38" s="6"/>
      <c r="C38" s="6"/>
      <c r="D38" s="6"/>
      <c r="E38" s="6"/>
      <c r="F38" s="7"/>
      <c r="G38" s="7"/>
      <c r="H38" s="7"/>
      <c r="I38" s="7"/>
      <c r="J38" s="7"/>
      <c r="K38" s="7"/>
      <c r="L38" s="7"/>
      <c r="M38" s="7"/>
      <c r="N38" s="7"/>
      <c r="O38" s="7"/>
      <c r="P38" s="7"/>
      <c r="Q38" s="7"/>
      <c r="R38" s="7"/>
      <c r="S38" s="7"/>
    </row>
    <row r="39" spans="1:19" x14ac:dyDescent="0.3">
      <c r="A39" s="6"/>
      <c r="B39" s="6"/>
      <c r="C39" s="6"/>
      <c r="D39" s="6"/>
      <c r="E39" s="6"/>
      <c r="F39" s="7"/>
      <c r="G39" s="7"/>
      <c r="H39" s="7"/>
      <c r="I39" s="7"/>
      <c r="J39" s="7"/>
      <c r="K39" s="7"/>
      <c r="L39" s="7"/>
      <c r="M39" s="7"/>
      <c r="N39" s="7"/>
      <c r="O39" s="7"/>
      <c r="P39" s="7"/>
      <c r="Q39" s="7"/>
      <c r="R39" s="7"/>
      <c r="S39" s="7"/>
    </row>
    <row r="40" spans="1:19" x14ac:dyDescent="0.3">
      <c r="A40" s="6"/>
      <c r="B40" s="6"/>
      <c r="C40" s="6"/>
      <c r="D40" s="6"/>
      <c r="E40" s="6"/>
      <c r="F40" s="7"/>
      <c r="G40" s="7"/>
      <c r="H40" s="7"/>
      <c r="I40" s="7"/>
      <c r="J40" s="7"/>
      <c r="K40" s="7"/>
      <c r="L40" s="7"/>
      <c r="M40" s="7"/>
      <c r="N40" s="7"/>
      <c r="O40" s="7"/>
      <c r="P40" s="7"/>
      <c r="Q40" s="7"/>
      <c r="R40" s="7"/>
      <c r="S40" s="7"/>
    </row>
    <row r="41" spans="1:19" x14ac:dyDescent="0.3">
      <c r="A41" s="6"/>
      <c r="B41" s="6"/>
      <c r="C41" s="6"/>
      <c r="D41" s="6"/>
      <c r="E41" s="6"/>
      <c r="F41" s="7"/>
      <c r="G41" s="7"/>
      <c r="H41" s="7"/>
      <c r="I41" s="7"/>
      <c r="J41" s="7"/>
      <c r="K41" s="7"/>
      <c r="L41" s="7"/>
      <c r="M41" s="7"/>
      <c r="N41" s="7"/>
      <c r="O41" s="7"/>
      <c r="P41" s="7"/>
      <c r="Q41" s="7"/>
      <c r="R41" s="7"/>
      <c r="S41"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Props1.xml><?xml version="1.0" encoding="utf-8"?>
<ds:datastoreItem xmlns:ds="http://schemas.openxmlformats.org/officeDocument/2006/customXml" ds:itemID="{FF6E19F5-D4BC-4860-8448-3BBB12871A9E}">
  <ds:schemaRefs>
    <ds:schemaRef ds:uri="http://schemas.microsoft.com/DataMashup"/>
  </ds:schemaRefs>
</ds:datastoreItem>
</file>

<file path=customXml/itemProps2.xml><?xml version="1.0" encoding="utf-8"?>
<ds:datastoreItem xmlns:ds="http://schemas.openxmlformats.org/officeDocument/2006/customXml" ds:itemID="{791D2397-ED18-4E5D-A509-C39C84BF36D5}">
  <ds:schemaRefs/>
</ds:datastoreItem>
</file>

<file path=customXml/itemProps3.xml><?xml version="1.0" encoding="utf-8"?>
<ds:datastoreItem xmlns:ds="http://schemas.openxmlformats.org/officeDocument/2006/customXml" ds:itemID="{7A180E54-78A2-48D1-B2CB-1A7576481603}">
  <ds:schemaRefs/>
</ds:datastoreItem>
</file>

<file path=customXml/itemProps4.xml><?xml version="1.0" encoding="utf-8"?>
<ds:datastoreItem xmlns:ds="http://schemas.openxmlformats.org/officeDocument/2006/customXml" ds:itemID="{16E6DEDB-1471-4051-8ACC-06A1AE114A87}">
  <ds:schemaRefs/>
</ds:datastoreItem>
</file>

<file path=customXml/itemProps5.xml><?xml version="1.0" encoding="utf-8"?>
<ds:datastoreItem xmlns:ds="http://schemas.openxmlformats.org/officeDocument/2006/customXml" ds:itemID="{067F3FD4-93BF-49C7-86A0-7865E9297626}">
  <ds:schemaRefs/>
</ds:datastoreItem>
</file>

<file path=customXml/itemProps6.xml><?xml version="1.0" encoding="utf-8"?>
<ds:datastoreItem xmlns:ds="http://schemas.openxmlformats.org/officeDocument/2006/customXml" ds:itemID="{CEC7F5B9-0A03-4018-AA65-049BF4BDFB88}">
  <ds:schemaRefs/>
</ds:datastoreItem>
</file>

<file path=customXml/itemProps7.xml><?xml version="1.0" encoding="utf-8"?>
<ds:datastoreItem xmlns:ds="http://schemas.openxmlformats.org/officeDocument/2006/customXml" ds:itemID="{37C9A638-38AD-4590-9043-C1970B707861}">
  <ds:schemaRefs/>
</ds:datastoreItem>
</file>

<file path=customXml/itemProps8.xml><?xml version="1.0" encoding="utf-8"?>
<ds:datastoreItem xmlns:ds="http://schemas.openxmlformats.org/officeDocument/2006/customXml" ds:itemID="{3FE96E57-F093-406A-A9BA-F7A0DEFD55CF}">
  <ds:schemaRefs/>
</ds:datastoreItem>
</file>

<file path=customXml/itemProps9.xml><?xml version="1.0" encoding="utf-8"?>
<ds:datastoreItem xmlns:ds="http://schemas.openxmlformats.org/officeDocument/2006/customXml" ds:itemID="{FE97C3E0-AE79-4BC0-91DC-87BFEC5D3A9B}">
  <ds:schemaRefs/>
</ds:datastoreItem>
</file>

<file path=customXml/itemProps10.xml><?xml version="1.0" encoding="utf-8"?>
<ds:datastoreItem xmlns:ds="http://schemas.openxmlformats.org/officeDocument/2006/customXml" ds:itemID="{9A9CDA76-9A63-472D-83A8-2AB675E02D2D}">
  <ds:schemaRefs/>
</ds:datastoreItem>
</file>

<file path=customXml/itemProps11.xml><?xml version="1.0" encoding="utf-8"?>
<ds:datastoreItem xmlns:ds="http://schemas.openxmlformats.org/officeDocument/2006/customXml" ds:itemID="{29D55F14-2A42-4430-8400-716156A74AA1}">
  <ds:schemaRefs/>
</ds:datastoreItem>
</file>

<file path=customXml/itemProps12.xml><?xml version="1.0" encoding="utf-8"?>
<ds:datastoreItem xmlns:ds="http://schemas.openxmlformats.org/officeDocument/2006/customXml" ds:itemID="{D49CA6D6-B4ED-4D13-BC65-D98D7CBFC8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Analysis1</vt:lpstr>
      <vt:lpstr>Analysis2</vt:lpstr>
      <vt:lpstr>Analysis3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Kishor</dc:creator>
  <cp:lastModifiedBy>Kishor Titare</cp:lastModifiedBy>
  <dcterms:created xsi:type="dcterms:W3CDTF">2025-10-17T12:22:03Z</dcterms:created>
  <dcterms:modified xsi:type="dcterms:W3CDTF">2025-10-20T04:01:22Z</dcterms:modified>
</cp:coreProperties>
</file>